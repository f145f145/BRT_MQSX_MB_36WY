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Code\PLC\幕墙换向阀PLC程序\"/>
    </mc:Choice>
  </mc:AlternateContent>
  <xr:revisionPtr revIDLastSave="0" documentId="13_ncr:1_{72EB25C1-3DD5-4E7F-8344-BB635ABC58F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C3" i="1"/>
  <c r="D3" i="1" s="1"/>
  <c r="C2" i="1"/>
  <c r="D2" i="1" s="1"/>
  <c r="B26" i="1"/>
  <c r="C15" i="1"/>
  <c r="D15" i="1" s="1"/>
  <c r="C16" i="1"/>
  <c r="D16" i="1" s="1"/>
  <c r="G16" i="1" s="1"/>
  <c r="C17" i="1"/>
  <c r="D17" i="1" s="1"/>
  <c r="G17" i="1" s="1"/>
  <c r="C18" i="1"/>
  <c r="D18" i="1" s="1"/>
  <c r="G18" i="1" s="1"/>
  <c r="C19" i="1"/>
  <c r="D19" i="1" s="1"/>
  <c r="G19" i="1" s="1"/>
  <c r="C20" i="1"/>
  <c r="D20" i="1" s="1"/>
  <c r="H20" i="1" s="1"/>
  <c r="C5" i="1"/>
  <c r="D5" i="1" s="1"/>
  <c r="G5" i="1" s="1"/>
  <c r="C6" i="1"/>
  <c r="D6" i="1" s="1"/>
  <c r="E6" i="1" s="1"/>
  <c r="C7" i="1"/>
  <c r="D7" i="1" s="1"/>
  <c r="G7" i="1" s="1"/>
  <c r="C8" i="1"/>
  <c r="D8" i="1" s="1"/>
  <c r="G8" i="1" s="1"/>
  <c r="C9" i="1"/>
  <c r="D9" i="1" s="1"/>
  <c r="E9" i="1" s="1"/>
  <c r="C10" i="1"/>
  <c r="D10" i="1" s="1"/>
  <c r="G10" i="1" s="1"/>
  <c r="C11" i="1"/>
  <c r="D11" i="1" s="1"/>
  <c r="C12" i="1"/>
  <c r="D12" i="1" s="1"/>
  <c r="E12" i="1" s="1"/>
  <c r="C13" i="1"/>
  <c r="D13" i="1" s="1"/>
  <c r="G13" i="1" s="1"/>
  <c r="C14" i="1"/>
  <c r="D14" i="1" s="1"/>
  <c r="G14" i="1" s="1"/>
  <c r="C4" i="1"/>
  <c r="D4" i="1" s="1"/>
  <c r="G4" i="1" s="1"/>
  <c r="G2" i="1" l="1"/>
  <c r="E2" i="1"/>
  <c r="F2" i="1"/>
  <c r="E3" i="1"/>
  <c r="G3" i="1"/>
  <c r="F3" i="1"/>
  <c r="H15" i="1"/>
  <c r="B28" i="1"/>
  <c r="H13" i="1"/>
  <c r="H12" i="1"/>
  <c r="H11" i="1"/>
  <c r="G15" i="1"/>
  <c r="B27" i="1"/>
  <c r="B29" i="1" s="1"/>
  <c r="H14" i="1"/>
  <c r="B30" i="1"/>
  <c r="H9" i="1"/>
  <c r="H10" i="1"/>
  <c r="H4" i="1"/>
  <c r="H8" i="1"/>
  <c r="H18" i="1"/>
  <c r="H6" i="1"/>
  <c r="H19" i="1"/>
  <c r="H17" i="1"/>
  <c r="H5" i="1"/>
  <c r="H7" i="1"/>
  <c r="H16" i="1"/>
  <c r="F20" i="1"/>
  <c r="G20" i="1"/>
  <c r="E11" i="1"/>
  <c r="F11" i="1"/>
  <c r="G11" i="1"/>
  <c r="G12" i="1"/>
  <c r="G9" i="1"/>
  <c r="G6" i="1"/>
  <c r="E8" i="1"/>
  <c r="F8" i="1"/>
  <c r="F7" i="1"/>
  <c r="E7" i="1"/>
  <c r="F13" i="1"/>
  <c r="E13" i="1"/>
  <c r="E14" i="1"/>
  <c r="F14" i="1"/>
  <c r="E5" i="1"/>
  <c r="F5" i="1"/>
  <c r="F10" i="1"/>
  <c r="E10" i="1"/>
  <c r="F19" i="1"/>
  <c r="E19" i="1"/>
  <c r="E18" i="1"/>
  <c r="F18" i="1"/>
  <c r="F17" i="1"/>
  <c r="E17" i="1"/>
  <c r="F16" i="1"/>
  <c r="E16" i="1"/>
  <c r="E15" i="1"/>
  <c r="F15" i="1"/>
  <c r="E20" i="1"/>
  <c r="F12" i="1"/>
  <c r="F9" i="1"/>
  <c r="F6" i="1"/>
  <c r="F4" i="1"/>
  <c r="E4" i="1"/>
</calcChain>
</file>

<file path=xl/sharedStrings.xml><?xml version="1.0" encoding="utf-8"?>
<sst xmlns="http://schemas.openxmlformats.org/spreadsheetml/2006/main" count="26" uniqueCount="24">
  <si>
    <t>伺服转速rpm</t>
    <phoneticPr fontId="2" type="noConversion"/>
  </si>
  <si>
    <t>阀门周期s</t>
    <phoneticPr fontId="2" type="noConversion"/>
  </si>
  <si>
    <t>变比</t>
    <phoneticPr fontId="2" type="noConversion"/>
  </si>
  <si>
    <t>阀门转速rpm</t>
    <phoneticPr fontId="2" type="noConversion"/>
  </si>
  <si>
    <t>1/8圆时间</t>
    <phoneticPr fontId="2" type="noConversion"/>
  </si>
  <si>
    <t>1/4圆时间</t>
    <phoneticPr fontId="2" type="noConversion"/>
  </si>
  <si>
    <t>1/16圆时间</t>
    <phoneticPr fontId="2" type="noConversion"/>
  </si>
  <si>
    <t>最大频率</t>
    <phoneticPr fontId="2" type="noConversion"/>
  </si>
  <si>
    <t>伺服最大转速</t>
    <phoneticPr fontId="2" type="noConversion"/>
  </si>
  <si>
    <t>阀门最大转速</t>
    <phoneticPr fontId="2" type="noConversion"/>
  </si>
  <si>
    <t>阀门最小周期</t>
    <phoneticPr fontId="2" type="noConversion"/>
  </si>
  <si>
    <t>伺服最小周期</t>
    <phoneticPr fontId="2" type="noConversion"/>
  </si>
  <si>
    <t>阀门1圈脉冲数</t>
    <phoneticPr fontId="2" type="noConversion"/>
  </si>
  <si>
    <t>伺服1圈脉冲数</t>
    <phoneticPr fontId="2" type="noConversion"/>
  </si>
  <si>
    <t>阀门1/8圈脉冲</t>
    <phoneticPr fontId="2" type="noConversion"/>
  </si>
  <si>
    <t>阀门1/16圈脉冲</t>
    <phoneticPr fontId="2" type="noConversion"/>
  </si>
  <si>
    <t>脉冲频率</t>
    <phoneticPr fontId="2" type="noConversion"/>
  </si>
  <si>
    <t>20s</t>
    <phoneticPr fontId="2" type="noConversion"/>
  </si>
  <si>
    <t>12s</t>
    <phoneticPr fontId="2" type="noConversion"/>
  </si>
  <si>
    <t>周期</t>
    <phoneticPr fontId="2" type="noConversion"/>
  </si>
  <si>
    <t>负压自检</t>
    <phoneticPr fontId="2" type="noConversion"/>
  </si>
  <si>
    <t>正压自检</t>
    <phoneticPr fontId="2" type="noConversion"/>
  </si>
  <si>
    <t>正常旋转</t>
    <phoneticPr fontId="2" type="noConversion"/>
  </si>
  <si>
    <t>低压准备1/8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</si>
</sst>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4" x14ac:knownFonts="1">
    <font>
      <sz val="11"/>
      <color theme="1"/>
      <name val="等线"/>
      <family val="2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黑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F2" sqref="F2:G2"/>
    </sheetView>
  </sheetViews>
  <sheetFormatPr defaultRowHeight="18" customHeight="1" x14ac:dyDescent="0.2"/>
  <cols>
    <col min="1" max="1" width="12.25" style="1" bestFit="1" customWidth="1"/>
    <col min="2" max="3" width="9" style="1"/>
    <col min="4" max="7" width="9" style="2"/>
    <col min="8" max="8" width="7.5" style="12" bestFit="1" customWidth="1"/>
    <col min="9" max="16384" width="9" style="1"/>
  </cols>
  <sheetData>
    <row r="1" spans="1:8" s="11" customFormat="1" ht="18" customHeight="1" x14ac:dyDescent="0.2">
      <c r="A1" s="9" t="s">
        <v>2</v>
      </c>
      <c r="B1" s="9" t="s">
        <v>0</v>
      </c>
      <c r="C1" s="9" t="s">
        <v>3</v>
      </c>
      <c r="D1" s="10" t="s">
        <v>1</v>
      </c>
      <c r="E1" s="10" t="s">
        <v>5</v>
      </c>
      <c r="F1" s="10" t="s">
        <v>4</v>
      </c>
      <c r="G1" s="10" t="s">
        <v>6</v>
      </c>
      <c r="H1" s="14" t="s">
        <v>16</v>
      </c>
    </row>
    <row r="2" spans="1:8" ht="18" customHeight="1" x14ac:dyDescent="0.2">
      <c r="A2" s="3">
        <v>100</v>
      </c>
      <c r="B2" s="3">
        <v>25</v>
      </c>
      <c r="C2" s="3">
        <f t="shared" ref="C2:C3" si="0">B2/A2</f>
        <v>0.25</v>
      </c>
      <c r="D2" s="4">
        <f t="shared" ref="D2:D3" si="1">60/C2</f>
        <v>240</v>
      </c>
      <c r="E2" s="4">
        <f t="shared" ref="E2:E3" si="2">D2/4</f>
        <v>60</v>
      </c>
      <c r="F2" s="4">
        <f t="shared" ref="F2:F3" si="3">D2/8</f>
        <v>30</v>
      </c>
      <c r="G2" s="4">
        <f t="shared" ref="G2:G3" si="4">D2/16</f>
        <v>15</v>
      </c>
      <c r="H2" s="15">
        <f t="shared" ref="H2:H3" si="5">B$22*D$20/D2</f>
        <v>500</v>
      </c>
    </row>
    <row r="3" spans="1:8" ht="18" customHeight="1" x14ac:dyDescent="0.2">
      <c r="A3" s="3">
        <v>100</v>
      </c>
      <c r="B3" s="3">
        <v>50</v>
      </c>
      <c r="C3" s="3">
        <f t="shared" si="0"/>
        <v>0.5</v>
      </c>
      <c r="D3" s="4">
        <f t="shared" si="1"/>
        <v>120</v>
      </c>
      <c r="E3" s="4">
        <f t="shared" si="2"/>
        <v>30</v>
      </c>
      <c r="F3" s="4">
        <f t="shared" si="3"/>
        <v>15</v>
      </c>
      <c r="G3" s="4">
        <f t="shared" si="4"/>
        <v>7.5</v>
      </c>
      <c r="H3" s="15">
        <f t="shared" si="5"/>
        <v>1000</v>
      </c>
    </row>
    <row r="4" spans="1:8" ht="18" customHeight="1" x14ac:dyDescent="0.2">
      <c r="A4" s="3">
        <v>100</v>
      </c>
      <c r="B4" s="3">
        <v>100</v>
      </c>
      <c r="C4" s="3">
        <f>B4/A4</f>
        <v>1</v>
      </c>
      <c r="D4" s="4">
        <f>60/C4</f>
        <v>60</v>
      </c>
      <c r="E4" s="4">
        <f>D4/4</f>
        <v>15</v>
      </c>
      <c r="F4" s="4">
        <f>D4/8</f>
        <v>7.5</v>
      </c>
      <c r="G4" s="4">
        <f>D4/16</f>
        <v>3.75</v>
      </c>
      <c r="H4" s="15">
        <f>B$22*D$20/D4</f>
        <v>2000</v>
      </c>
    </row>
    <row r="5" spans="1:8" ht="18" customHeight="1" x14ac:dyDescent="0.2">
      <c r="A5" s="3">
        <v>100</v>
      </c>
      <c r="B5" s="3">
        <v>125</v>
      </c>
      <c r="C5" s="3">
        <f t="shared" ref="C5:C14" si="6">B5/A5</f>
        <v>1.25</v>
      </c>
      <c r="D5" s="4">
        <f t="shared" ref="D5:D20" si="7">60/C5</f>
        <v>48</v>
      </c>
      <c r="E5" s="4">
        <f t="shared" ref="E5:E20" si="8">D5/4</f>
        <v>12</v>
      </c>
      <c r="F5" s="4">
        <f t="shared" ref="F5:F14" si="9">D5/8</f>
        <v>6</v>
      </c>
      <c r="G5" s="4">
        <f t="shared" ref="G5:G20" si="10">D5/16</f>
        <v>3</v>
      </c>
      <c r="H5" s="15">
        <f t="shared" ref="H5:H20" si="11">B$22*D$20/D5</f>
        <v>2500</v>
      </c>
    </row>
    <row r="6" spans="1:8" ht="18" customHeight="1" x14ac:dyDescent="0.2">
      <c r="A6" s="3">
        <v>100</v>
      </c>
      <c r="B6" s="3">
        <v>150</v>
      </c>
      <c r="C6" s="3">
        <f t="shared" si="6"/>
        <v>1.5</v>
      </c>
      <c r="D6" s="4">
        <f t="shared" si="7"/>
        <v>40</v>
      </c>
      <c r="E6" s="4">
        <f t="shared" si="8"/>
        <v>10</v>
      </c>
      <c r="F6" s="4">
        <f t="shared" si="9"/>
        <v>5</v>
      </c>
      <c r="G6" s="8">
        <f t="shared" si="10"/>
        <v>2.5</v>
      </c>
      <c r="H6" s="15">
        <f t="shared" si="11"/>
        <v>3000</v>
      </c>
    </row>
    <row r="7" spans="1:8" ht="18" customHeight="1" x14ac:dyDescent="0.2">
      <c r="A7" s="3">
        <v>100</v>
      </c>
      <c r="B7" s="3">
        <v>175</v>
      </c>
      <c r="C7" s="3">
        <f t="shared" si="6"/>
        <v>1.75</v>
      </c>
      <c r="D7" s="4">
        <f t="shared" si="7"/>
        <v>34.285714285714285</v>
      </c>
      <c r="E7" s="4">
        <f t="shared" si="8"/>
        <v>8.5714285714285712</v>
      </c>
      <c r="F7" s="4">
        <f t="shared" si="9"/>
        <v>4.2857142857142856</v>
      </c>
      <c r="G7" s="4">
        <f t="shared" si="10"/>
        <v>2.1428571428571428</v>
      </c>
      <c r="H7" s="15">
        <f t="shared" si="11"/>
        <v>3500</v>
      </c>
    </row>
    <row r="8" spans="1:8" ht="18" customHeight="1" x14ac:dyDescent="0.2">
      <c r="A8" s="3">
        <v>100</v>
      </c>
      <c r="B8" s="3">
        <v>200</v>
      </c>
      <c r="C8" s="3">
        <f t="shared" si="6"/>
        <v>2</v>
      </c>
      <c r="D8" s="4">
        <f t="shared" si="7"/>
        <v>30</v>
      </c>
      <c r="E8" s="4">
        <f t="shared" si="8"/>
        <v>7.5</v>
      </c>
      <c r="F8" s="4">
        <f t="shared" si="9"/>
        <v>3.75</v>
      </c>
      <c r="G8" s="7">
        <f t="shared" si="10"/>
        <v>1.875</v>
      </c>
      <c r="H8" s="15">
        <f t="shared" si="11"/>
        <v>4000</v>
      </c>
    </row>
    <row r="9" spans="1:8" ht="18" customHeight="1" x14ac:dyDescent="0.2">
      <c r="A9" s="3">
        <v>100</v>
      </c>
      <c r="B9" s="3">
        <v>225</v>
      </c>
      <c r="C9" s="3">
        <f t="shared" si="6"/>
        <v>2.25</v>
      </c>
      <c r="D9" s="4">
        <f t="shared" si="7"/>
        <v>26.666666666666668</v>
      </c>
      <c r="E9" s="4">
        <f t="shared" si="8"/>
        <v>6.666666666666667</v>
      </c>
      <c r="F9" s="4">
        <f t="shared" si="9"/>
        <v>3.3333333333333335</v>
      </c>
      <c r="G9" s="4">
        <f t="shared" si="10"/>
        <v>1.6666666666666667</v>
      </c>
      <c r="H9" s="15">
        <f t="shared" si="11"/>
        <v>4500</v>
      </c>
    </row>
    <row r="10" spans="1:8" ht="18" customHeight="1" x14ac:dyDescent="0.2">
      <c r="A10" s="3">
        <v>100</v>
      </c>
      <c r="B10" s="3">
        <v>250</v>
      </c>
      <c r="C10" s="3">
        <f t="shared" si="6"/>
        <v>2.5</v>
      </c>
      <c r="D10" s="4">
        <f t="shared" si="7"/>
        <v>24</v>
      </c>
      <c r="E10" s="4">
        <f t="shared" si="8"/>
        <v>6</v>
      </c>
      <c r="F10" s="4">
        <f t="shared" si="9"/>
        <v>3</v>
      </c>
      <c r="G10" s="4">
        <f t="shared" si="10"/>
        <v>1.5</v>
      </c>
      <c r="H10" s="15">
        <f t="shared" si="11"/>
        <v>5000</v>
      </c>
    </row>
    <row r="11" spans="1:8" ht="18" customHeight="1" x14ac:dyDescent="0.2">
      <c r="A11" s="3">
        <v>100</v>
      </c>
      <c r="B11" s="3">
        <v>275</v>
      </c>
      <c r="C11" s="3">
        <f t="shared" si="6"/>
        <v>2.75</v>
      </c>
      <c r="D11" s="4">
        <f t="shared" si="7"/>
        <v>21.818181818181817</v>
      </c>
      <c r="E11" s="4">
        <f t="shared" si="8"/>
        <v>5.4545454545454541</v>
      </c>
      <c r="F11" s="8">
        <f t="shared" si="9"/>
        <v>2.7272727272727271</v>
      </c>
      <c r="G11" s="4">
        <f t="shared" si="10"/>
        <v>1.3636363636363635</v>
      </c>
      <c r="H11" s="15">
        <f t="shared" si="11"/>
        <v>5500</v>
      </c>
    </row>
    <row r="12" spans="1:8" ht="18" customHeight="1" x14ac:dyDescent="0.2">
      <c r="A12" s="3">
        <v>100</v>
      </c>
      <c r="B12" s="3">
        <v>300</v>
      </c>
      <c r="C12" s="3">
        <f t="shared" si="6"/>
        <v>3</v>
      </c>
      <c r="D12" s="13">
        <f t="shared" si="7"/>
        <v>20</v>
      </c>
      <c r="E12" s="4">
        <f t="shared" si="8"/>
        <v>5</v>
      </c>
      <c r="F12" s="4">
        <f t="shared" si="9"/>
        <v>2.5</v>
      </c>
      <c r="G12" s="4">
        <f t="shared" si="10"/>
        <v>1.25</v>
      </c>
      <c r="H12" s="15">
        <f t="shared" si="11"/>
        <v>6000</v>
      </c>
    </row>
    <row r="13" spans="1:8" ht="18" customHeight="1" x14ac:dyDescent="0.2">
      <c r="A13" s="3">
        <v>100</v>
      </c>
      <c r="B13" s="3">
        <v>325</v>
      </c>
      <c r="C13" s="3">
        <f t="shared" si="6"/>
        <v>3.25</v>
      </c>
      <c r="D13" s="4">
        <f t="shared" si="7"/>
        <v>18.46153846153846</v>
      </c>
      <c r="E13" s="4">
        <f t="shared" si="8"/>
        <v>4.615384615384615</v>
      </c>
      <c r="F13" s="4">
        <f t="shared" si="9"/>
        <v>2.3076923076923075</v>
      </c>
      <c r="G13" s="4">
        <f t="shared" si="10"/>
        <v>1.1538461538461537</v>
      </c>
      <c r="H13" s="15">
        <f t="shared" si="11"/>
        <v>6500.0000000000009</v>
      </c>
    </row>
    <row r="14" spans="1:8" ht="18" customHeight="1" x14ac:dyDescent="0.2">
      <c r="A14" s="3">
        <v>100</v>
      </c>
      <c r="B14" s="3">
        <v>350</v>
      </c>
      <c r="C14" s="3">
        <f t="shared" si="6"/>
        <v>3.5</v>
      </c>
      <c r="D14" s="4">
        <f t="shared" si="7"/>
        <v>17.142857142857142</v>
      </c>
      <c r="E14" s="4">
        <f t="shared" si="8"/>
        <v>4.2857142857142856</v>
      </c>
      <c r="F14" s="4">
        <f t="shared" si="9"/>
        <v>2.1428571428571428</v>
      </c>
      <c r="G14" s="4">
        <f t="shared" si="10"/>
        <v>1.0714285714285714</v>
      </c>
      <c r="H14" s="15">
        <f t="shared" si="11"/>
        <v>7000</v>
      </c>
    </row>
    <row r="15" spans="1:8" ht="18" customHeight="1" x14ac:dyDescent="0.2">
      <c r="A15" s="3">
        <v>100</v>
      </c>
      <c r="B15" s="3">
        <v>375</v>
      </c>
      <c r="C15" s="3">
        <f t="shared" ref="C15:C20" si="12">B15/A15</f>
        <v>3.75</v>
      </c>
      <c r="D15" s="4">
        <f t="shared" si="7"/>
        <v>16</v>
      </c>
      <c r="E15" s="4">
        <f t="shared" si="8"/>
        <v>4</v>
      </c>
      <c r="F15" s="4">
        <f t="shared" ref="F15:F20" si="13">D15/8</f>
        <v>2</v>
      </c>
      <c r="G15" s="4">
        <f t="shared" si="10"/>
        <v>1</v>
      </c>
      <c r="H15" s="15">
        <f t="shared" si="11"/>
        <v>7500</v>
      </c>
    </row>
    <row r="16" spans="1:8" ht="18" customHeight="1" x14ac:dyDescent="0.2">
      <c r="A16" s="3">
        <v>100</v>
      </c>
      <c r="B16" s="3">
        <v>400</v>
      </c>
      <c r="C16" s="3">
        <f t="shared" si="12"/>
        <v>4</v>
      </c>
      <c r="D16" s="4">
        <f t="shared" si="7"/>
        <v>15</v>
      </c>
      <c r="E16" s="4">
        <f t="shared" si="8"/>
        <v>3.75</v>
      </c>
      <c r="F16" s="7">
        <f t="shared" si="13"/>
        <v>1.875</v>
      </c>
      <c r="G16" s="4">
        <f t="shared" si="10"/>
        <v>0.9375</v>
      </c>
      <c r="H16" s="15">
        <f t="shared" si="11"/>
        <v>8000</v>
      </c>
    </row>
    <row r="17" spans="1:8" ht="18" customHeight="1" x14ac:dyDescent="0.2">
      <c r="A17" s="3">
        <v>100</v>
      </c>
      <c r="B17" s="3">
        <v>425</v>
      </c>
      <c r="C17" s="3">
        <f t="shared" si="12"/>
        <v>4.25</v>
      </c>
      <c r="D17" s="4">
        <f t="shared" si="7"/>
        <v>14.117647058823529</v>
      </c>
      <c r="E17" s="4">
        <f t="shared" si="8"/>
        <v>3.5294117647058822</v>
      </c>
      <c r="F17" s="4">
        <f t="shared" si="13"/>
        <v>1.7647058823529411</v>
      </c>
      <c r="G17" s="4">
        <f t="shared" si="10"/>
        <v>0.88235294117647056</v>
      </c>
      <c r="H17" s="15">
        <f t="shared" si="11"/>
        <v>8500</v>
      </c>
    </row>
    <row r="18" spans="1:8" ht="18" customHeight="1" x14ac:dyDescent="0.2">
      <c r="A18" s="3">
        <v>100</v>
      </c>
      <c r="B18" s="3">
        <v>450</v>
      </c>
      <c r="C18" s="3">
        <f t="shared" si="12"/>
        <v>4.5</v>
      </c>
      <c r="D18" s="4">
        <f t="shared" si="7"/>
        <v>13.333333333333334</v>
      </c>
      <c r="E18" s="4">
        <f t="shared" si="8"/>
        <v>3.3333333333333335</v>
      </c>
      <c r="F18" s="4">
        <f t="shared" si="13"/>
        <v>1.6666666666666667</v>
      </c>
      <c r="G18" s="4">
        <f t="shared" si="10"/>
        <v>0.83333333333333337</v>
      </c>
      <c r="H18" s="15">
        <f t="shared" si="11"/>
        <v>9000</v>
      </c>
    </row>
    <row r="19" spans="1:8" ht="18" customHeight="1" x14ac:dyDescent="0.2">
      <c r="A19" s="3">
        <v>100</v>
      </c>
      <c r="B19" s="3">
        <v>475</v>
      </c>
      <c r="C19" s="3">
        <f t="shared" si="12"/>
        <v>4.75</v>
      </c>
      <c r="D19" s="4">
        <f t="shared" si="7"/>
        <v>12.631578947368421</v>
      </c>
      <c r="E19" s="4">
        <f t="shared" si="8"/>
        <v>3.1578947368421053</v>
      </c>
      <c r="F19" s="4">
        <f t="shared" si="13"/>
        <v>1.5789473684210527</v>
      </c>
      <c r="G19" s="4">
        <f t="shared" si="10"/>
        <v>0.78947368421052633</v>
      </c>
      <c r="H19" s="15">
        <f t="shared" si="11"/>
        <v>9500</v>
      </c>
    </row>
    <row r="20" spans="1:8" ht="18" customHeight="1" x14ac:dyDescent="0.2">
      <c r="A20" s="5">
        <v>100</v>
      </c>
      <c r="B20" s="5">
        <v>500</v>
      </c>
      <c r="C20" s="5">
        <f t="shared" si="12"/>
        <v>5</v>
      </c>
      <c r="D20" s="6">
        <f t="shared" si="7"/>
        <v>12</v>
      </c>
      <c r="E20" s="6">
        <f t="shared" si="8"/>
        <v>3</v>
      </c>
      <c r="F20" s="6">
        <f t="shared" si="13"/>
        <v>1.5</v>
      </c>
      <c r="G20" s="6">
        <f t="shared" si="10"/>
        <v>0.75</v>
      </c>
      <c r="H20" s="16">
        <f t="shared" si="11"/>
        <v>10000</v>
      </c>
    </row>
    <row r="22" spans="1:8" ht="18" customHeight="1" x14ac:dyDescent="0.2">
      <c r="A22" s="1" t="s">
        <v>7</v>
      </c>
      <c r="B22" s="1">
        <v>10000</v>
      </c>
    </row>
    <row r="23" spans="1:8" ht="18" customHeight="1" x14ac:dyDescent="0.2">
      <c r="A23" s="1" t="s">
        <v>8</v>
      </c>
      <c r="B23" s="1">
        <v>500</v>
      </c>
    </row>
    <row r="24" spans="1:8" ht="18" customHeight="1" x14ac:dyDescent="0.2">
      <c r="A24" s="1" t="s">
        <v>9</v>
      </c>
      <c r="B24" s="1">
        <v>5</v>
      </c>
    </row>
    <row r="25" spans="1:8" ht="18" customHeight="1" x14ac:dyDescent="0.2">
      <c r="A25" s="1" t="s">
        <v>10</v>
      </c>
      <c r="B25" s="1">
        <v>12</v>
      </c>
    </row>
    <row r="26" spans="1:8" ht="18" customHeight="1" x14ac:dyDescent="0.2">
      <c r="A26" s="1" t="s">
        <v>11</v>
      </c>
      <c r="B26" s="1">
        <f>12/100</f>
        <v>0.12</v>
      </c>
    </row>
    <row r="27" spans="1:8" ht="18" customHeight="1" x14ac:dyDescent="0.2">
      <c r="A27" s="1" t="s">
        <v>12</v>
      </c>
      <c r="B27" s="1">
        <f>B22*D20</f>
        <v>120000</v>
      </c>
    </row>
    <row r="28" spans="1:8" ht="18" customHeight="1" x14ac:dyDescent="0.2">
      <c r="A28" s="1" t="s">
        <v>13</v>
      </c>
      <c r="B28" s="1">
        <f>B22*D20/A20</f>
        <v>1200</v>
      </c>
    </row>
    <row r="29" spans="1:8" ht="18" customHeight="1" x14ac:dyDescent="0.2">
      <c r="A29" s="1" t="s">
        <v>14</v>
      </c>
      <c r="B29" s="1">
        <f>B27/8</f>
        <v>15000</v>
      </c>
    </row>
    <row r="30" spans="1:8" ht="18" customHeight="1" x14ac:dyDescent="0.2">
      <c r="A30" s="1" t="s">
        <v>15</v>
      </c>
      <c r="B30" s="1">
        <f>B27/16</f>
        <v>7500</v>
      </c>
    </row>
    <row r="31" spans="1:8" ht="18" customHeight="1" x14ac:dyDescent="0.2">
      <c r="B31" s="1" t="s">
        <v>19</v>
      </c>
      <c r="C31" s="1" t="s">
        <v>16</v>
      </c>
    </row>
    <row r="32" spans="1:8" ht="18" customHeight="1" x14ac:dyDescent="0.2">
      <c r="A32" s="1" t="s">
        <v>20</v>
      </c>
      <c r="B32" s="1" t="s">
        <v>18</v>
      </c>
      <c r="C32" s="1">
        <v>10000</v>
      </c>
    </row>
    <row r="33" spans="1:3" ht="18" customHeight="1" x14ac:dyDescent="0.2">
      <c r="A33" s="1" t="s">
        <v>21</v>
      </c>
      <c r="B33" s="1" t="s">
        <v>17</v>
      </c>
      <c r="C33" s="1">
        <v>6000</v>
      </c>
    </row>
    <row r="34" spans="1:3" ht="18" customHeight="1" x14ac:dyDescent="0.2">
      <c r="A34" s="1" t="s">
        <v>22</v>
      </c>
      <c r="B34" s="1" t="s">
        <v>17</v>
      </c>
      <c r="C34" s="1">
        <v>6000</v>
      </c>
    </row>
    <row r="35" spans="1:3" ht="18" customHeight="1" x14ac:dyDescent="0.2">
      <c r="A35" s="1" t="s">
        <v>23</v>
      </c>
      <c r="B35" s="1">
        <v>7.5</v>
      </c>
      <c r="C35" s="1">
        <v>2000</v>
      </c>
    </row>
  </sheetData>
  <phoneticPr fontId="2" type="noConversion"/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qiangge</dc:creator>
  <cp:lastModifiedBy>zhengqiang hao</cp:lastModifiedBy>
  <dcterms:created xsi:type="dcterms:W3CDTF">2015-06-05T18:17:20Z</dcterms:created>
  <dcterms:modified xsi:type="dcterms:W3CDTF">2024-08-07T06:28:11Z</dcterms:modified>
</cp:coreProperties>
</file>