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D:\Code\PLC\幕墙主PLC程序（单风机）\"/>
    </mc:Choice>
  </mc:AlternateContent>
  <xr:revisionPtr revIDLastSave="0" documentId="13_ncr:1_{C1708946-8BED-48D6-82D3-6E662945C219}" xr6:coauthVersionLast="47" xr6:coauthVersionMax="47" xr10:uidLastSave="{00000000-0000-0000-0000-000000000000}"/>
  <bookViews>
    <workbookView xWindow="-120" yWindow="-120" windowWidth="38640" windowHeight="21390" firstSheet="1" activeTab="5" xr2:uid="{4F962389-769A-43BA-BA7B-0ED218B8B32A}"/>
  </bookViews>
  <sheets>
    <sheet name="物理点" sheetId="1" r:id="rId1"/>
    <sheet name="M量" sheetId="2" r:id="rId2"/>
    <sheet name="普通D量" sheetId="4" r:id="rId3"/>
    <sheet name="程控指令" sheetId="9" r:id="rId4"/>
    <sheet name="层间变形指令" sheetId="10" r:id="rId5"/>
    <sheet name="阀门箱指令" sheetId="11" r:id="rId6"/>
    <sheet name="定时器" sheetId="7" r:id="rId7"/>
    <sheet name="传感器参数" sheetId="8" r:id="rId8"/>
  </sheets>
  <definedNames>
    <definedName name="_xlnm.Print_Titles" localSheetId="4">层间变形指令!$1:$1</definedName>
    <definedName name="_xlnm.Print_Titles" localSheetId="3">程控指令!$1:$1</definedName>
    <definedName name="_xlnm.Print_Titles" localSheetId="7">传感器参数!$2:$2</definedName>
    <definedName name="_xlnm.Print_Titles" localSheetId="2">普通D量!$2:$2</definedName>
    <definedName name="_xlnm.Print_Titles" localSheetId="0">物理点!$1:$1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00" i="4" l="1"/>
  <c r="D25" i="10"/>
  <c r="D298" i="4"/>
  <c r="D299" i="4"/>
  <c r="D22" i="10"/>
  <c r="D23" i="10"/>
  <c r="D24" i="10"/>
  <c r="D61" i="4" l="1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1" i="10"/>
  <c r="D20" i="10"/>
  <c r="D19" i="10"/>
  <c r="D18" i="10"/>
  <c r="D17" i="10"/>
  <c r="D16" i="10"/>
  <c r="D15" i="10"/>
  <c r="D14" i="10"/>
  <c r="D13" i="10"/>
  <c r="D12" i="10"/>
  <c r="D11" i="10"/>
  <c r="D10" i="10"/>
  <c r="D9" i="10"/>
  <c r="D8" i="10"/>
  <c r="D7" i="10"/>
  <c r="D6" i="10"/>
  <c r="D5" i="10"/>
  <c r="D4" i="10"/>
  <c r="D3" i="10"/>
  <c r="D2" i="10"/>
  <c r="D277" i="4"/>
  <c r="D18" i="9"/>
  <c r="D17" i="9"/>
  <c r="D16" i="9"/>
  <c r="D15" i="9"/>
  <c r="D14" i="9"/>
  <c r="D13" i="9"/>
  <c r="D12" i="9"/>
  <c r="D11" i="9"/>
  <c r="D10" i="9"/>
  <c r="D9" i="9"/>
  <c r="D8" i="9"/>
  <c r="D7" i="9"/>
  <c r="D6" i="9"/>
  <c r="D5" i="9"/>
  <c r="D4" i="9"/>
  <c r="D3" i="9"/>
  <c r="D2" i="9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57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43" i="4"/>
</calcChain>
</file>

<file path=xl/sharedStrings.xml><?xml version="1.0" encoding="utf-8"?>
<sst xmlns="http://schemas.openxmlformats.org/spreadsheetml/2006/main" count="1804" uniqueCount="1080">
  <si>
    <t>类型</t>
    <phoneticPr fontId="1" type="noConversion"/>
  </si>
  <si>
    <t>序号</t>
    <phoneticPr fontId="1" type="noConversion"/>
  </si>
  <si>
    <t>信号类型</t>
    <phoneticPr fontId="1" type="noConversion"/>
  </si>
  <si>
    <t>DI</t>
    <phoneticPr fontId="1" type="noConversion"/>
  </si>
  <si>
    <t>DO</t>
    <phoneticPr fontId="1" type="noConversion"/>
  </si>
  <si>
    <t>设备</t>
    <phoneticPr fontId="1" type="noConversion"/>
  </si>
  <si>
    <t>功用</t>
    <phoneticPr fontId="1" type="noConversion"/>
  </si>
  <si>
    <t>AI</t>
    <phoneticPr fontId="1" type="noConversion"/>
  </si>
  <si>
    <t>编号</t>
    <phoneticPr fontId="1" type="noConversion"/>
  </si>
  <si>
    <t>X5</t>
  </si>
  <si>
    <t>X6</t>
  </si>
  <si>
    <t>X7</t>
  </si>
  <si>
    <t>Y0</t>
    <phoneticPr fontId="1" type="noConversion"/>
  </si>
  <si>
    <t>Y1</t>
  </si>
  <si>
    <t>Y2</t>
  </si>
  <si>
    <t>Y3</t>
  </si>
  <si>
    <t>Y4</t>
  </si>
  <si>
    <t>Y5</t>
  </si>
  <si>
    <t>信号名称</t>
    <phoneticPr fontId="1" type="noConversion"/>
  </si>
  <si>
    <t>设备运行模式</t>
    <phoneticPr fontId="1" type="noConversion"/>
  </si>
  <si>
    <t>D300</t>
    <phoneticPr fontId="1" type="noConversion"/>
  </si>
  <si>
    <t>位移传感器2</t>
  </si>
  <si>
    <t>位移传感器3</t>
  </si>
  <si>
    <t>位移传感器4</t>
  </si>
  <si>
    <t>位移传感器5</t>
  </si>
  <si>
    <t>位移传感器6</t>
  </si>
  <si>
    <t>位移传感器7</t>
  </si>
  <si>
    <t>位移传感器8</t>
  </si>
  <si>
    <t>位移传感器9</t>
  </si>
  <si>
    <t>开关控制</t>
    <phoneticPr fontId="1" type="noConversion"/>
  </si>
  <si>
    <t>风速值</t>
    <phoneticPr fontId="1" type="noConversion"/>
  </si>
  <si>
    <t>风压值</t>
    <phoneticPr fontId="1" type="noConversion"/>
  </si>
  <si>
    <t>位移值</t>
    <phoneticPr fontId="1" type="noConversion"/>
  </si>
  <si>
    <t>AO</t>
    <phoneticPr fontId="1" type="noConversion"/>
  </si>
  <si>
    <t>X轴液压电磁阀</t>
    <phoneticPr fontId="1" type="noConversion"/>
  </si>
  <si>
    <t>Y轴液压电磁阀</t>
    <phoneticPr fontId="1" type="noConversion"/>
  </si>
  <si>
    <t>Z轴液压电磁阀</t>
    <phoneticPr fontId="1" type="noConversion"/>
  </si>
  <si>
    <t>变频器启停控制</t>
    <phoneticPr fontId="1" type="noConversion"/>
  </si>
  <si>
    <t>位移传感器10</t>
  </si>
  <si>
    <t>位移传感器11</t>
  </si>
  <si>
    <t>位移传感器12</t>
  </si>
  <si>
    <t>相序故障</t>
    <phoneticPr fontId="1" type="noConversion"/>
  </si>
  <si>
    <t>故障输入</t>
    <phoneticPr fontId="1" type="noConversion"/>
  </si>
  <si>
    <t>液压总电磁阀</t>
    <phoneticPr fontId="1" type="noConversion"/>
  </si>
  <si>
    <t>干接点</t>
    <phoneticPr fontId="1" type="noConversion"/>
  </si>
  <si>
    <t>0-5V</t>
    <phoneticPr fontId="1" type="noConversion"/>
  </si>
  <si>
    <t>4～20mA</t>
    <phoneticPr fontId="1" type="noConversion"/>
  </si>
  <si>
    <t>备注</t>
    <phoneticPr fontId="1" type="noConversion"/>
  </si>
  <si>
    <t>地址</t>
    <phoneticPr fontId="1" type="noConversion"/>
  </si>
  <si>
    <t>X0</t>
    <phoneticPr fontId="1" type="noConversion"/>
  </si>
  <si>
    <t>X1</t>
  </si>
  <si>
    <t>X2</t>
  </si>
  <si>
    <t>X3</t>
  </si>
  <si>
    <t>X4</t>
  </si>
  <si>
    <t>Y6</t>
  </si>
  <si>
    <t>Y7</t>
  </si>
  <si>
    <t>Y11</t>
  </si>
  <si>
    <t>Y12</t>
  </si>
  <si>
    <t>Y13</t>
  </si>
  <si>
    <t>Y14</t>
  </si>
  <si>
    <t>Y15</t>
  </si>
  <si>
    <t>PLC模块</t>
    <phoneticPr fontId="1" type="noConversion"/>
  </si>
  <si>
    <t>PLC1</t>
    <phoneticPr fontId="1" type="noConversion"/>
  </si>
  <si>
    <t>PLC3</t>
    <phoneticPr fontId="1" type="noConversion"/>
  </si>
  <si>
    <t>PLC4</t>
    <phoneticPr fontId="1" type="noConversion"/>
  </si>
  <si>
    <t>PLC5</t>
    <phoneticPr fontId="1" type="noConversion"/>
  </si>
  <si>
    <t>PLC6</t>
    <phoneticPr fontId="1" type="noConversion"/>
  </si>
  <si>
    <t>PLC7</t>
    <phoneticPr fontId="1" type="noConversion"/>
  </si>
  <si>
    <t>CH1</t>
    <phoneticPr fontId="1" type="noConversion"/>
  </si>
  <si>
    <t>CH2</t>
  </si>
  <si>
    <t>CH3</t>
  </si>
  <si>
    <t>CH4</t>
  </si>
  <si>
    <t>通道编号</t>
    <phoneticPr fontId="1" type="noConversion"/>
  </si>
  <si>
    <t>接线点编号</t>
    <phoneticPr fontId="1" type="noConversion"/>
  </si>
  <si>
    <t>IO1</t>
    <phoneticPr fontId="1" type="noConversion"/>
  </si>
  <si>
    <t>IO2</t>
    <phoneticPr fontId="1" type="noConversion"/>
  </si>
  <si>
    <t>V1</t>
    <phoneticPr fontId="1" type="noConversion"/>
  </si>
  <si>
    <t>V2</t>
    <phoneticPr fontId="1" type="noConversion"/>
  </si>
  <si>
    <t>V3</t>
    <phoneticPr fontId="1" type="noConversion"/>
  </si>
  <si>
    <t>V4</t>
    <phoneticPr fontId="1" type="noConversion"/>
  </si>
  <si>
    <t>V1/I1</t>
    <phoneticPr fontId="1" type="noConversion"/>
  </si>
  <si>
    <t>V2/I2</t>
    <phoneticPr fontId="1" type="noConversion"/>
  </si>
  <si>
    <t>V3/I3</t>
    <phoneticPr fontId="1" type="noConversion"/>
  </si>
  <si>
    <t>V4/I4</t>
    <phoneticPr fontId="1" type="noConversion"/>
  </si>
  <si>
    <t>X10</t>
    <phoneticPr fontId="1" type="noConversion"/>
  </si>
  <si>
    <t>Y10</t>
    <phoneticPr fontId="1" type="noConversion"/>
  </si>
  <si>
    <t>Y16</t>
  </si>
  <si>
    <t>Y17</t>
  </si>
  <si>
    <t>通电开阀</t>
    <phoneticPr fontId="1" type="noConversion"/>
  </si>
  <si>
    <t>备用</t>
    <phoneticPr fontId="1" type="noConversion"/>
  </si>
  <si>
    <t>X11</t>
  </si>
  <si>
    <t>X12</t>
  </si>
  <si>
    <t>X13</t>
  </si>
  <si>
    <t>X14</t>
  </si>
  <si>
    <t>X15</t>
  </si>
  <si>
    <t>X16</t>
  </si>
  <si>
    <t>X17</t>
  </si>
  <si>
    <t>断开为故障</t>
    <phoneticPr fontId="1" type="noConversion"/>
  </si>
  <si>
    <t>位移传感器1</t>
  </si>
  <si>
    <t>DC24V继电器</t>
    <phoneticPr fontId="1" type="noConversion"/>
  </si>
  <si>
    <t>IO3</t>
  </si>
  <si>
    <t>IO4</t>
  </si>
  <si>
    <t>位移尺1</t>
    <phoneticPr fontId="1" type="noConversion"/>
  </si>
  <si>
    <t>位移尺2</t>
  </si>
  <si>
    <t>位移尺3</t>
  </si>
  <si>
    <t>位移尺4</t>
  </si>
  <si>
    <t>位移尺5</t>
  </si>
  <si>
    <t>位移尺6</t>
  </si>
  <si>
    <t>位移尺7</t>
  </si>
  <si>
    <t>位移尺8</t>
  </si>
  <si>
    <t>位移尺9</t>
  </si>
  <si>
    <t>位移尺10</t>
  </si>
  <si>
    <t>位移尺11</t>
  </si>
  <si>
    <t>位移尺12</t>
  </si>
  <si>
    <t>600风压</t>
    <phoneticPr fontId="1" type="noConversion"/>
  </si>
  <si>
    <t>12k风压</t>
    <phoneticPr fontId="1" type="noConversion"/>
  </si>
  <si>
    <t>粗管风速</t>
    <phoneticPr fontId="1" type="noConversion"/>
  </si>
  <si>
    <t>细管风速</t>
    <phoneticPr fontId="1" type="noConversion"/>
  </si>
  <si>
    <t>M200</t>
    <phoneticPr fontId="1" type="noConversion"/>
  </si>
  <si>
    <t>M201</t>
  </si>
  <si>
    <t>M202</t>
  </si>
  <si>
    <t>M203</t>
  </si>
  <si>
    <t>M204</t>
  </si>
  <si>
    <t>M205</t>
  </si>
  <si>
    <t>M206</t>
  </si>
  <si>
    <t>M207</t>
  </si>
  <si>
    <t>M208</t>
  </si>
  <si>
    <t>M209</t>
  </si>
  <si>
    <t>M210</t>
  </si>
  <si>
    <t>M211</t>
  </si>
  <si>
    <t>M212</t>
  </si>
  <si>
    <t>M213</t>
  </si>
  <si>
    <t>M214</t>
  </si>
  <si>
    <t>M215</t>
  </si>
  <si>
    <t>M216</t>
  </si>
  <si>
    <t>M217</t>
  </si>
  <si>
    <t>M400</t>
    <phoneticPr fontId="1" type="noConversion"/>
  </si>
  <si>
    <t>M401</t>
  </si>
  <si>
    <t>M402</t>
  </si>
  <si>
    <t>M403</t>
  </si>
  <si>
    <t>M404</t>
  </si>
  <si>
    <t>M405</t>
  </si>
  <si>
    <t>M406</t>
  </si>
  <si>
    <t>M407</t>
  </si>
  <si>
    <t>M408</t>
  </si>
  <si>
    <t>M409</t>
  </si>
  <si>
    <t>M410</t>
  </si>
  <si>
    <t>M411</t>
  </si>
  <si>
    <t>M412</t>
  </si>
  <si>
    <t>M413</t>
  </si>
  <si>
    <t>M414</t>
  </si>
  <si>
    <t>M415</t>
  </si>
  <si>
    <t>M416</t>
  </si>
  <si>
    <t>M417</t>
  </si>
  <si>
    <t>设备状态</t>
    <phoneticPr fontId="1" type="noConversion"/>
  </si>
  <si>
    <t>差压阀开状态</t>
    <phoneticPr fontId="1" type="noConversion"/>
  </si>
  <si>
    <t>X轴向右状态</t>
    <phoneticPr fontId="1" type="noConversion"/>
  </si>
  <si>
    <t>X轴向左状态</t>
    <phoneticPr fontId="1" type="noConversion"/>
  </si>
  <si>
    <t>Y轴向前状态</t>
    <phoneticPr fontId="1" type="noConversion"/>
  </si>
  <si>
    <t>Y轴向后状态</t>
    <phoneticPr fontId="1" type="noConversion"/>
  </si>
  <si>
    <t>Z轴向上状态</t>
    <phoneticPr fontId="1" type="noConversion"/>
  </si>
  <si>
    <t>Z轴向下状态</t>
    <phoneticPr fontId="1" type="noConversion"/>
  </si>
  <si>
    <t>液压总阀开状态</t>
    <phoneticPr fontId="1" type="noConversion"/>
  </si>
  <si>
    <t>KM1吸合状态</t>
    <phoneticPr fontId="1" type="noConversion"/>
  </si>
  <si>
    <t>气泵运行状态</t>
    <phoneticPr fontId="1" type="noConversion"/>
  </si>
  <si>
    <t>水泵运行状态</t>
    <phoneticPr fontId="1" type="noConversion"/>
  </si>
  <si>
    <t>液压站运行状态</t>
    <phoneticPr fontId="1" type="noConversion"/>
  </si>
  <si>
    <t>定时器编号</t>
    <phoneticPr fontId="1" type="noConversion"/>
  </si>
  <si>
    <t>周期</t>
    <phoneticPr fontId="1" type="noConversion"/>
  </si>
  <si>
    <t>功能</t>
    <phoneticPr fontId="1" type="noConversion"/>
  </si>
  <si>
    <t>D600</t>
    <phoneticPr fontId="1" type="noConversion"/>
  </si>
  <si>
    <t>D602</t>
    <phoneticPr fontId="1" type="noConversion"/>
  </si>
  <si>
    <t>D301</t>
  </si>
  <si>
    <t>D302</t>
  </si>
  <si>
    <t>D303</t>
  </si>
  <si>
    <t>向右控制</t>
    <phoneticPr fontId="1" type="noConversion"/>
  </si>
  <si>
    <t>向左控制</t>
    <phoneticPr fontId="1" type="noConversion"/>
  </si>
  <si>
    <t>向前控制</t>
    <phoneticPr fontId="1" type="noConversion"/>
  </si>
  <si>
    <t>向后控制</t>
    <phoneticPr fontId="1" type="noConversion"/>
  </si>
  <si>
    <t>向上控制</t>
    <phoneticPr fontId="1" type="noConversion"/>
  </si>
  <si>
    <t>向下控制</t>
    <phoneticPr fontId="1" type="noConversion"/>
  </si>
  <si>
    <t>接触器控制</t>
    <phoneticPr fontId="1" type="noConversion"/>
  </si>
  <si>
    <t>频率给定值</t>
    <phoneticPr fontId="1" type="noConversion"/>
  </si>
  <si>
    <t>名称</t>
    <phoneticPr fontId="1" type="noConversion"/>
  </si>
  <si>
    <t>电信号</t>
    <phoneticPr fontId="1" type="noConversion"/>
  </si>
  <si>
    <t>量程</t>
    <phoneticPr fontId="1" type="noConversion"/>
  </si>
  <si>
    <t>采集器电信号</t>
    <phoneticPr fontId="1" type="noConversion"/>
  </si>
  <si>
    <t>采集器采集值</t>
    <phoneticPr fontId="1" type="noConversion"/>
  </si>
  <si>
    <t>电信号对应采集值</t>
    <phoneticPr fontId="1" type="noConversion"/>
  </si>
  <si>
    <t>下限</t>
    <phoneticPr fontId="1" type="noConversion"/>
  </si>
  <si>
    <t>上限</t>
    <phoneticPr fontId="1" type="noConversion"/>
  </si>
  <si>
    <t>传感器</t>
    <phoneticPr fontId="1" type="noConversion"/>
  </si>
  <si>
    <t>采集设备</t>
    <phoneticPr fontId="1" type="noConversion"/>
  </si>
  <si>
    <t>通道</t>
    <phoneticPr fontId="1" type="noConversion"/>
  </si>
  <si>
    <t>接线点</t>
    <phoneticPr fontId="1" type="noConversion"/>
  </si>
  <si>
    <t>WY1</t>
    <phoneticPr fontId="1" type="noConversion"/>
  </si>
  <si>
    <t>WY2</t>
  </si>
  <si>
    <t>WY3</t>
  </si>
  <si>
    <t>WY4</t>
  </si>
  <si>
    <t>WY5</t>
  </si>
  <si>
    <t>WY6</t>
  </si>
  <si>
    <t>WY7</t>
  </si>
  <si>
    <t>WY8</t>
  </si>
  <si>
    <t>WY9</t>
  </si>
  <si>
    <t>WY10</t>
  </si>
  <si>
    <t>WY11</t>
  </si>
  <si>
    <t>WY12</t>
  </si>
  <si>
    <t>FY1</t>
    <phoneticPr fontId="1" type="noConversion"/>
  </si>
  <si>
    <t>FY2</t>
    <phoneticPr fontId="1" type="noConversion"/>
  </si>
  <si>
    <t>FS1</t>
    <phoneticPr fontId="1" type="noConversion"/>
  </si>
  <si>
    <t>FS2</t>
    <phoneticPr fontId="1" type="noConversion"/>
  </si>
  <si>
    <t>X轴</t>
    <phoneticPr fontId="1" type="noConversion"/>
  </si>
  <si>
    <t>Y轴</t>
    <phoneticPr fontId="1" type="noConversion"/>
  </si>
  <si>
    <t>Z轴</t>
    <phoneticPr fontId="1" type="noConversion"/>
  </si>
  <si>
    <t>方向</t>
    <phoneticPr fontId="1" type="noConversion"/>
  </si>
  <si>
    <t>数量</t>
    <phoneticPr fontId="1" type="noConversion"/>
  </si>
  <si>
    <t>0-225</t>
    <phoneticPr fontId="1" type="noConversion"/>
  </si>
  <si>
    <t>0-100</t>
    <phoneticPr fontId="1" type="noConversion"/>
  </si>
  <si>
    <t>方向定义：正面面向设备</t>
    <phoneticPr fontId="1" type="noConversion"/>
  </si>
  <si>
    <t>Z左</t>
    <phoneticPr fontId="1" type="noConversion"/>
  </si>
  <si>
    <t>Z中</t>
    <phoneticPr fontId="1" type="noConversion"/>
  </si>
  <si>
    <t>Z右</t>
    <phoneticPr fontId="1" type="noConversion"/>
  </si>
  <si>
    <t>Y左</t>
    <phoneticPr fontId="1" type="noConversion"/>
  </si>
  <si>
    <t>Y中</t>
    <phoneticPr fontId="1" type="noConversion"/>
  </si>
  <si>
    <t>Y右</t>
    <phoneticPr fontId="1" type="noConversion"/>
  </si>
  <si>
    <t>变形
位置</t>
    <phoneticPr fontId="1" type="noConversion"/>
  </si>
  <si>
    <t>风压
位置</t>
    <phoneticPr fontId="1" type="noConversion"/>
  </si>
  <si>
    <t>位移1采集值</t>
    <phoneticPr fontId="1" type="noConversion"/>
  </si>
  <si>
    <t>位移2采集值</t>
  </si>
  <si>
    <t>位移3采集值</t>
  </si>
  <si>
    <t>位移4采集值</t>
  </si>
  <si>
    <t>位移5采集值</t>
  </si>
  <si>
    <t>位移6采集值</t>
  </si>
  <si>
    <t>位移7采集值</t>
  </si>
  <si>
    <t>位移8采集值</t>
  </si>
  <si>
    <t>位移9采集值</t>
  </si>
  <si>
    <t>位移10采集值</t>
  </si>
  <si>
    <t>位移11采集值</t>
  </si>
  <si>
    <t>位移12采集值</t>
  </si>
  <si>
    <t>位移1计算值</t>
  </si>
  <si>
    <t>位移2计算值</t>
  </si>
  <si>
    <t>位移3计算值</t>
  </si>
  <si>
    <t>位移4计算值</t>
  </si>
  <si>
    <t>位移5计算值</t>
  </si>
  <si>
    <t>位移6计算值</t>
  </si>
  <si>
    <t>位移7计算值</t>
  </si>
  <si>
    <t>位移8计算值</t>
  </si>
  <si>
    <t>位移9计算值</t>
  </si>
  <si>
    <t>位移10计算值</t>
  </si>
  <si>
    <t>位移11计算值</t>
  </si>
  <si>
    <t>位移12计算值</t>
  </si>
  <si>
    <t>位移1修正值</t>
  </si>
  <si>
    <t>位移2修正值</t>
  </si>
  <si>
    <t>位移3修正值</t>
  </si>
  <si>
    <t>位移4修正值</t>
  </si>
  <si>
    <t>位移5修正值</t>
  </si>
  <si>
    <t>位移6修正值</t>
  </si>
  <si>
    <t>位移7修正值</t>
  </si>
  <si>
    <t>位移8修正值</t>
  </si>
  <si>
    <t>位移9修正值</t>
  </si>
  <si>
    <t>位移10修正值</t>
  </si>
  <si>
    <t>位移11修正值</t>
  </si>
  <si>
    <t>位移12修正值</t>
  </si>
  <si>
    <t>传感器采集值</t>
    <phoneticPr fontId="1" type="noConversion"/>
  </si>
  <si>
    <t>传感器计算值</t>
    <phoneticPr fontId="1" type="noConversion"/>
  </si>
  <si>
    <t>D4000</t>
    <phoneticPr fontId="1" type="noConversion"/>
  </si>
  <si>
    <t>D4001</t>
  </si>
  <si>
    <t>D4002</t>
  </si>
  <si>
    <t>D4003</t>
  </si>
  <si>
    <t>D4004</t>
  </si>
  <si>
    <t>D4005</t>
  </si>
  <si>
    <t>D4006</t>
  </si>
  <si>
    <t>D4007</t>
  </si>
  <si>
    <t>D4008</t>
  </si>
  <si>
    <t>D4009</t>
  </si>
  <si>
    <t>D4010</t>
  </si>
  <si>
    <t>D4011</t>
  </si>
  <si>
    <t>D4012</t>
  </si>
  <si>
    <t>D4013</t>
  </si>
  <si>
    <t>D4014</t>
  </si>
  <si>
    <t>D4015</t>
  </si>
  <si>
    <t>D4016</t>
  </si>
  <si>
    <t>D4017</t>
  </si>
  <si>
    <t>D4018</t>
  </si>
  <si>
    <t>D4031</t>
  </si>
  <si>
    <t>D4032</t>
  </si>
  <si>
    <t>D4033</t>
  </si>
  <si>
    <t>D4034</t>
  </si>
  <si>
    <t>D4035</t>
  </si>
  <si>
    <t>D4036</t>
  </si>
  <si>
    <t>D4037</t>
  </si>
  <si>
    <t>D4038</t>
  </si>
  <si>
    <t>D4039</t>
  </si>
  <si>
    <t>D4040</t>
  </si>
  <si>
    <t>D4041</t>
  </si>
  <si>
    <t>D4042</t>
  </si>
  <si>
    <t>D4043</t>
  </si>
  <si>
    <t>D4044</t>
  </si>
  <si>
    <t>D4045</t>
  </si>
  <si>
    <t>D4046</t>
  </si>
  <si>
    <t>D4047</t>
  </si>
  <si>
    <t>D4048</t>
  </si>
  <si>
    <t>D4049</t>
  </si>
  <si>
    <t>上循环模式</t>
    <phoneticPr fontId="1" type="noConversion"/>
  </si>
  <si>
    <t>D1480</t>
    <phoneticPr fontId="1" type="noConversion"/>
  </si>
  <si>
    <t>D1481</t>
  </si>
  <si>
    <t>D1482</t>
  </si>
  <si>
    <t>D1483</t>
  </si>
  <si>
    <t>位移1-485</t>
    <phoneticPr fontId="1" type="noConversion"/>
  </si>
  <si>
    <t>位移2-485</t>
  </si>
  <si>
    <t>位移3-485</t>
  </si>
  <si>
    <t>位移4-485</t>
  </si>
  <si>
    <t>位移5-485</t>
  </si>
  <si>
    <t>位移6-485</t>
  </si>
  <si>
    <t>位移7-485</t>
  </si>
  <si>
    <t>位移8-485</t>
  </si>
  <si>
    <t>位移9-485</t>
  </si>
  <si>
    <t>位移10-485</t>
  </si>
  <si>
    <t>位移11-485</t>
  </si>
  <si>
    <t>位移12-485</t>
  </si>
  <si>
    <t>D1512</t>
    <phoneticPr fontId="1" type="noConversion"/>
  </si>
  <si>
    <t>D1513</t>
  </si>
  <si>
    <t>D1514</t>
  </si>
  <si>
    <t>D1515</t>
  </si>
  <si>
    <t>D1544</t>
    <phoneticPr fontId="1" type="noConversion"/>
  </si>
  <si>
    <t>D1545</t>
  </si>
  <si>
    <t>D1546</t>
  </si>
  <si>
    <t>D1547</t>
  </si>
  <si>
    <t>D1576</t>
    <phoneticPr fontId="1" type="noConversion"/>
  </si>
  <si>
    <t>D1577</t>
  </si>
  <si>
    <t>D1578</t>
  </si>
  <si>
    <t>D1579</t>
  </si>
  <si>
    <t>紧急停机指令</t>
    <phoneticPr fontId="1" type="noConversion"/>
  </si>
  <si>
    <t>模式
切换复位</t>
    <phoneticPr fontId="1" type="noConversion"/>
  </si>
  <si>
    <t>停止复位</t>
    <phoneticPr fontId="1" type="noConversion"/>
  </si>
  <si>
    <t>√</t>
    <phoneticPr fontId="1" type="noConversion"/>
  </si>
  <si>
    <t>ToPC状态参数</t>
    <phoneticPr fontId="1" type="noConversion"/>
  </si>
  <si>
    <t>PLClink
AD采集值</t>
    <phoneticPr fontId="1" type="noConversion"/>
  </si>
  <si>
    <t>传感器修正
设定值
计算值=采集值-修正值</t>
    <phoneticPr fontId="1" type="noConversion"/>
  </si>
  <si>
    <t>相序正常状态</t>
    <phoneticPr fontId="1" type="noConversion"/>
  </si>
  <si>
    <t>D304</t>
  </si>
  <si>
    <t>D305</t>
  </si>
  <si>
    <t>D306</t>
  </si>
  <si>
    <t>D307</t>
  </si>
  <si>
    <t>D308</t>
  </si>
  <si>
    <t>D309</t>
  </si>
  <si>
    <t>D310</t>
  </si>
  <si>
    <t>D311</t>
  </si>
  <si>
    <t>D312</t>
  </si>
  <si>
    <t>D313</t>
  </si>
  <si>
    <t>D314</t>
  </si>
  <si>
    <t>D315</t>
  </si>
  <si>
    <t>D316</t>
  </si>
  <si>
    <t>D317</t>
  </si>
  <si>
    <t>D318</t>
  </si>
  <si>
    <t>D319</t>
  </si>
  <si>
    <t>D320</t>
  </si>
  <si>
    <t>D321</t>
  </si>
  <si>
    <t>0-32000</t>
    <phoneticPr fontId="1" type="noConversion"/>
  </si>
  <si>
    <t>0-4000</t>
    <phoneticPr fontId="1" type="noConversion"/>
  </si>
  <si>
    <t>状态监测1</t>
    <phoneticPr fontId="1" type="noConversion"/>
  </si>
  <si>
    <t>状态监测2</t>
    <phoneticPr fontId="1" type="noConversion"/>
  </si>
  <si>
    <t>状态监测3</t>
    <phoneticPr fontId="1" type="noConversion"/>
  </si>
  <si>
    <t>状态监测4</t>
    <phoneticPr fontId="1" type="noConversion"/>
  </si>
  <si>
    <t>通讯闪烁状态</t>
    <phoneticPr fontId="1" type="noConversion"/>
  </si>
  <si>
    <t>T0</t>
    <phoneticPr fontId="1" type="noConversion"/>
  </si>
  <si>
    <t>M350</t>
    <phoneticPr fontId="1" type="noConversion"/>
  </si>
  <si>
    <t>看门狗</t>
    <phoneticPr fontId="1" type="noConversion"/>
  </si>
  <si>
    <t>T1</t>
  </si>
  <si>
    <t>400ms</t>
    <phoneticPr fontId="1" type="noConversion"/>
  </si>
  <si>
    <t>20s</t>
    <phoneticPr fontId="1" type="noConversion"/>
  </si>
  <si>
    <t>2s</t>
    <phoneticPr fontId="1" type="noConversion"/>
  </si>
  <si>
    <t>看门狗1</t>
    <phoneticPr fontId="1" type="noConversion"/>
  </si>
  <si>
    <t>看门狗2</t>
    <phoneticPr fontId="1" type="noConversion"/>
  </si>
  <si>
    <t>T2</t>
  </si>
  <si>
    <t>T3</t>
  </si>
  <si>
    <t>通讯状态闪烁2</t>
    <phoneticPr fontId="1" type="noConversion"/>
  </si>
  <si>
    <t>通讯状态闪烁1</t>
    <phoneticPr fontId="1" type="noConversion"/>
  </si>
  <si>
    <t>100ms</t>
    <phoneticPr fontId="1" type="noConversion"/>
  </si>
  <si>
    <t>时长</t>
    <phoneticPr fontId="1" type="noConversion"/>
  </si>
  <si>
    <t>传输数据暂存区</t>
    <phoneticPr fontId="1" type="noConversion"/>
  </si>
  <si>
    <t>D8000</t>
    <phoneticPr fontId="1" type="noConversion"/>
  </si>
  <si>
    <t>D8001</t>
    <phoneticPr fontId="1" type="noConversion"/>
  </si>
  <si>
    <t>D8002</t>
  </si>
  <si>
    <t>D8003</t>
  </si>
  <si>
    <t>D8004</t>
  </si>
  <si>
    <t>D8005</t>
  </si>
  <si>
    <t>D8006</t>
  </si>
  <si>
    <t>D8007</t>
  </si>
  <si>
    <t>D8008</t>
  </si>
  <si>
    <t>D8009</t>
  </si>
  <si>
    <t>D8010</t>
  </si>
  <si>
    <t>D8011</t>
  </si>
  <si>
    <t>D8012</t>
  </si>
  <si>
    <t>D8013</t>
  </si>
  <si>
    <t>D8014</t>
  </si>
  <si>
    <t>D8015</t>
  </si>
  <si>
    <t>D8016</t>
  </si>
  <si>
    <t>D8017</t>
  </si>
  <si>
    <t>D8018</t>
  </si>
  <si>
    <t>D8019</t>
  </si>
  <si>
    <t>数据1</t>
    <phoneticPr fontId="1" type="noConversion"/>
  </si>
  <si>
    <t>数据2</t>
  </si>
  <si>
    <t>数据3</t>
  </si>
  <si>
    <t>数据4</t>
  </si>
  <si>
    <t>数据5</t>
  </si>
  <si>
    <t>数据6</t>
  </si>
  <si>
    <t>数据7</t>
  </si>
  <si>
    <t>数据8</t>
  </si>
  <si>
    <t>数据9</t>
  </si>
  <si>
    <t>数据10</t>
  </si>
  <si>
    <t>数据11</t>
  </si>
  <si>
    <t>数据12</t>
  </si>
  <si>
    <t>数据13</t>
  </si>
  <si>
    <t>数据14</t>
  </si>
  <si>
    <t>数据15</t>
  </si>
  <si>
    <t>数据16</t>
  </si>
  <si>
    <t>数据17</t>
  </si>
  <si>
    <t>数据18</t>
  </si>
  <si>
    <t>数据19</t>
  </si>
  <si>
    <t>Modbus
地址</t>
    <phoneticPr fontId="1" type="noConversion"/>
  </si>
  <si>
    <t>X定点目标</t>
    <phoneticPr fontId="1" type="noConversion"/>
  </si>
  <si>
    <t>Y定点目标</t>
    <phoneticPr fontId="1" type="noConversion"/>
  </si>
  <si>
    <t>Z定点目标</t>
    <phoneticPr fontId="1" type="noConversion"/>
  </si>
  <si>
    <t>Z点动（1上2下）</t>
    <phoneticPr fontId="1" type="noConversion"/>
  </si>
  <si>
    <t>Y点动（1前2后）</t>
    <phoneticPr fontId="1" type="noConversion"/>
  </si>
  <si>
    <t>X点动时长</t>
    <phoneticPr fontId="1" type="noConversion"/>
  </si>
  <si>
    <t>Y点动时长</t>
    <phoneticPr fontId="1" type="noConversion"/>
  </si>
  <si>
    <t>Z点动时长</t>
    <phoneticPr fontId="1" type="noConversion"/>
  </si>
  <si>
    <t>持续运动模式</t>
    <phoneticPr fontId="1" type="noConversion"/>
  </si>
  <si>
    <t>Y持续方向（0停1前2后）</t>
    <phoneticPr fontId="1" type="noConversion"/>
  </si>
  <si>
    <t>Z持续方向（0停1上2下）</t>
    <phoneticPr fontId="1" type="noConversion"/>
  </si>
  <si>
    <t>X点动（1右2左）</t>
    <phoneticPr fontId="1" type="noConversion"/>
  </si>
  <si>
    <t>T21</t>
    <phoneticPr fontId="1" type="noConversion"/>
  </si>
  <si>
    <t>T22</t>
  </si>
  <si>
    <t>T23</t>
  </si>
  <si>
    <t>T24</t>
  </si>
  <si>
    <t>T25</t>
  </si>
  <si>
    <t>T26</t>
  </si>
  <si>
    <t>X右点动计时器</t>
    <phoneticPr fontId="1" type="noConversion"/>
  </si>
  <si>
    <t>X左点动计时器</t>
    <phoneticPr fontId="1" type="noConversion"/>
  </si>
  <si>
    <t>Y前点动计时器</t>
    <phoneticPr fontId="1" type="noConversion"/>
  </si>
  <si>
    <t>Y后点动计时器</t>
    <phoneticPr fontId="1" type="noConversion"/>
  </si>
  <si>
    <t>Z上点动计时器</t>
    <phoneticPr fontId="1" type="noConversion"/>
  </si>
  <si>
    <t>Z下点动计时器</t>
    <phoneticPr fontId="1" type="noConversion"/>
  </si>
  <si>
    <t>D500</t>
    <phoneticPr fontId="1" type="noConversion"/>
  </si>
  <si>
    <t>D501</t>
  </si>
  <si>
    <t>D502</t>
  </si>
  <si>
    <t>D503</t>
  </si>
  <si>
    <t>D504</t>
  </si>
  <si>
    <t>D505</t>
  </si>
  <si>
    <t>X右定位修正</t>
    <phoneticPr fontId="1" type="noConversion"/>
  </si>
  <si>
    <t>X左定位修正</t>
    <phoneticPr fontId="1" type="noConversion"/>
  </si>
  <si>
    <t>Y前定位修正</t>
    <phoneticPr fontId="1" type="noConversion"/>
  </si>
  <si>
    <t>Y后定位修正</t>
    <phoneticPr fontId="1" type="noConversion"/>
  </si>
  <si>
    <t>Z上定位修正</t>
    <phoneticPr fontId="1" type="noConversion"/>
  </si>
  <si>
    <t>Z下定位修正</t>
    <phoneticPr fontId="1" type="noConversion"/>
  </si>
  <si>
    <t>D506</t>
  </si>
  <si>
    <t>D507</t>
  </si>
  <si>
    <t>D508</t>
  </si>
  <si>
    <t>D509</t>
  </si>
  <si>
    <t>D510</t>
  </si>
  <si>
    <t>D511</t>
  </si>
  <si>
    <t>D0</t>
    <phoneticPr fontId="1" type="noConversion"/>
  </si>
  <si>
    <t>D10</t>
    <phoneticPr fontId="1" type="noConversion"/>
  </si>
  <si>
    <t>D11</t>
    <phoneticPr fontId="1" type="noConversion"/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</si>
  <si>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</si>
  <si>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</si>
  <si>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</si>
  <si>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</si>
  <si>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</si>
  <si>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</si>
  <si>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</si>
  <si>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</si>
  <si>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</si>
  <si>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</si>
  <si>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</si>
  <si>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</si>
  <si>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</si>
  <si>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</si>
  <si>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</si>
  <si>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</si>
  <si>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</si>
  <si>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暂存值</t>
    <phoneticPr fontId="1" type="noConversion"/>
  </si>
  <si>
    <t>D8100</t>
    <phoneticPr fontId="1" type="noConversion"/>
  </si>
  <si>
    <t>点动模式</t>
    <phoneticPr fontId="1" type="noConversion"/>
  </si>
  <si>
    <t>D8101</t>
  </si>
  <si>
    <t>D8102</t>
  </si>
  <si>
    <t>D8103</t>
  </si>
  <si>
    <t>D8104</t>
  </si>
  <si>
    <t>D8105</t>
  </si>
  <si>
    <t>D8106</t>
  </si>
  <si>
    <t>D8107</t>
  </si>
  <si>
    <t>D8108</t>
  </si>
  <si>
    <t>D8109</t>
  </si>
  <si>
    <t>D8110</t>
  </si>
  <si>
    <t>D8111</t>
  </si>
  <si>
    <t>D8112</t>
  </si>
  <si>
    <t>D8113</t>
  </si>
  <si>
    <t>D8114</t>
  </si>
  <si>
    <t>D8115</t>
  </si>
  <si>
    <t>D8116</t>
  </si>
  <si>
    <t>D8117</t>
  </si>
  <si>
    <t>D8118</t>
  </si>
  <si>
    <t>D8119</t>
  </si>
  <si>
    <t>X定点到位</t>
    <phoneticPr fontId="1" type="noConversion"/>
  </si>
  <si>
    <t>Y定点到位</t>
    <phoneticPr fontId="1" type="noConversion"/>
  </si>
  <si>
    <t>Z定点到位</t>
    <phoneticPr fontId="1" type="noConversion"/>
  </si>
  <si>
    <t>X右定位目标修正后</t>
    <phoneticPr fontId="1" type="noConversion"/>
  </si>
  <si>
    <t>X左定位目标修正后</t>
    <phoneticPr fontId="1" type="noConversion"/>
  </si>
  <si>
    <t>Y前定位目标修正后</t>
    <phoneticPr fontId="1" type="noConversion"/>
  </si>
  <si>
    <t>Y后定位目标修正后</t>
    <phoneticPr fontId="1" type="noConversion"/>
  </si>
  <si>
    <t>Z上定位目标修正后</t>
    <phoneticPr fontId="1" type="noConversion"/>
  </si>
  <si>
    <t>Z下定位目标修正后</t>
    <phoneticPr fontId="1" type="noConversion"/>
  </si>
  <si>
    <t>X目标+右定修正</t>
    <phoneticPr fontId="1" type="noConversion"/>
  </si>
  <si>
    <t>X目标+左定修正</t>
    <phoneticPr fontId="1" type="noConversion"/>
  </si>
  <si>
    <t>Y目标+前定修正</t>
    <phoneticPr fontId="1" type="noConversion"/>
  </si>
  <si>
    <t>Y目标+后定修正</t>
    <phoneticPr fontId="1" type="noConversion"/>
  </si>
  <si>
    <t>Z目标+上定修正</t>
    <phoneticPr fontId="1" type="noConversion"/>
  </si>
  <si>
    <t>Z目标+下定修正</t>
    <phoneticPr fontId="1" type="noConversion"/>
  </si>
  <si>
    <t>X目标+右修+误差</t>
    <phoneticPr fontId="1" type="noConversion"/>
  </si>
  <si>
    <t>X目标+右修-误差</t>
    <phoneticPr fontId="1" type="noConversion"/>
  </si>
  <si>
    <t>X目标+左修+误差</t>
    <phoneticPr fontId="1" type="noConversion"/>
  </si>
  <si>
    <t>X目标+左修-误差</t>
    <phoneticPr fontId="1" type="noConversion"/>
  </si>
  <si>
    <t>Y目标+前修+误差</t>
    <phoneticPr fontId="1" type="noConversion"/>
  </si>
  <si>
    <t>Y目标+前修-误差</t>
    <phoneticPr fontId="1" type="noConversion"/>
  </si>
  <si>
    <t>Y目标+后修+误差</t>
    <phoneticPr fontId="1" type="noConversion"/>
  </si>
  <si>
    <t>Y目标+后修-误差</t>
    <phoneticPr fontId="1" type="noConversion"/>
  </si>
  <si>
    <t>Z目标+上修+误差</t>
    <phoneticPr fontId="1" type="noConversion"/>
  </si>
  <si>
    <t>Z目标+上修-误差</t>
    <phoneticPr fontId="1" type="noConversion"/>
  </si>
  <si>
    <t>Z目标+下修+误差</t>
    <phoneticPr fontId="1" type="noConversion"/>
  </si>
  <si>
    <t>Z目标+下修-误差</t>
    <phoneticPr fontId="1" type="noConversion"/>
  </si>
  <si>
    <t>D8120</t>
  </si>
  <si>
    <t>T30</t>
    <phoneticPr fontId="1" type="noConversion"/>
  </si>
  <si>
    <t>M251</t>
    <phoneticPr fontId="1" type="noConversion"/>
  </si>
  <si>
    <t>M252</t>
  </si>
  <si>
    <t>M253</t>
  </si>
  <si>
    <t>M254</t>
  </si>
  <si>
    <t>M255</t>
  </si>
  <si>
    <t>M256</t>
  </si>
  <si>
    <t>M257</t>
  </si>
  <si>
    <t>M258</t>
  </si>
  <si>
    <t>层间Z点上定时器</t>
    <phoneticPr fontId="1" type="noConversion"/>
  </si>
  <si>
    <t>T31</t>
  </si>
  <si>
    <t>层间Z点下定时器</t>
    <phoneticPr fontId="1" type="noConversion"/>
  </si>
  <si>
    <t>指令值</t>
    <phoneticPr fontId="1" type="noConversion"/>
  </si>
  <si>
    <t>层间变形定位参数</t>
    <phoneticPr fontId="1" type="noConversion"/>
  </si>
  <si>
    <t>X右偏差范围</t>
    <phoneticPr fontId="1" type="noConversion"/>
  </si>
  <si>
    <t>X左偏差范围</t>
    <phoneticPr fontId="1" type="noConversion"/>
  </si>
  <si>
    <t>Y前偏差范围</t>
    <phoneticPr fontId="1" type="noConversion"/>
  </si>
  <si>
    <t>Y后偏差范围</t>
    <phoneticPr fontId="1" type="noConversion"/>
  </si>
  <si>
    <t>Z上偏差范围</t>
    <phoneticPr fontId="1" type="noConversion"/>
  </si>
  <si>
    <t>Z下偏差范围</t>
    <phoneticPr fontId="1" type="noConversion"/>
  </si>
  <si>
    <t>正数，对应采集值</t>
    <phoneticPr fontId="1" type="noConversion"/>
  </si>
  <si>
    <t>有符号，对应采集值</t>
    <phoneticPr fontId="1" type="noConversion"/>
  </si>
  <si>
    <t>Y轴计算值平均值（7、8、9）</t>
    <phoneticPr fontId="1" type="noConversion"/>
  </si>
  <si>
    <t>Z轴计算值平均值（10、11、12）</t>
    <phoneticPr fontId="1" type="noConversion"/>
  </si>
  <si>
    <t>Y轴采集值平均值（7、8、9）</t>
    <phoneticPr fontId="1" type="noConversion"/>
  </si>
  <si>
    <t>Z轴采集值平均值（10、11、12）</t>
    <phoneticPr fontId="1" type="noConversion"/>
  </si>
  <si>
    <t>D4050</t>
  </si>
  <si>
    <t>D29</t>
  </si>
  <si>
    <t>D30</t>
  </si>
  <si>
    <t>D31</t>
  </si>
  <si>
    <t>D32</t>
  </si>
  <si>
    <t>Y左+Y中计算和</t>
    <phoneticPr fontId="1" type="noConversion"/>
  </si>
  <si>
    <t>Y左+Y中+Y右计算和</t>
    <phoneticPr fontId="1" type="noConversion"/>
  </si>
  <si>
    <t>Z左+Z中计算和</t>
    <phoneticPr fontId="1" type="noConversion"/>
  </si>
  <si>
    <t>Z左+Z中+Z右计算和</t>
    <phoneticPr fontId="1" type="noConversion"/>
  </si>
  <si>
    <t>Y左+Y中采集和</t>
    <phoneticPr fontId="1" type="noConversion"/>
  </si>
  <si>
    <t>Y左+Y中+Y右采集和</t>
    <phoneticPr fontId="1" type="noConversion"/>
  </si>
  <si>
    <t>Z左+Z中采集和</t>
    <phoneticPr fontId="1" type="noConversion"/>
  </si>
  <si>
    <t>Z左+Z中+Z右采集和</t>
    <phoneticPr fontId="1" type="noConversion"/>
  </si>
  <si>
    <t>定点模式（1X右，2X左，3Y前，4Y后，5Z上，6Z下）</t>
    <phoneticPr fontId="1" type="noConversion"/>
  </si>
  <si>
    <t>M259</t>
  </si>
  <si>
    <t>M260</t>
  </si>
  <si>
    <t>D33</t>
  </si>
  <si>
    <t>D5000</t>
    <phoneticPr fontId="1" type="noConversion"/>
  </si>
  <si>
    <t>D5001</t>
  </si>
  <si>
    <t>D5009</t>
  </si>
  <si>
    <t>D5010</t>
  </si>
  <si>
    <t>D5011</t>
  </si>
  <si>
    <t>D5012</t>
  </si>
  <si>
    <t>D5013</t>
  </si>
  <si>
    <t>D5014</t>
  </si>
  <si>
    <t>D5015</t>
  </si>
  <si>
    <t>D5016</t>
  </si>
  <si>
    <t>风机变频启动状态</t>
    <phoneticPr fontId="1" type="noConversion"/>
  </si>
  <si>
    <t>水泵变频启动状态</t>
    <phoneticPr fontId="1" type="noConversion"/>
  </si>
  <si>
    <t>M100</t>
    <phoneticPr fontId="1" type="noConversion"/>
  </si>
  <si>
    <t>M101</t>
  </si>
  <si>
    <t>M102</t>
  </si>
  <si>
    <t>M103</t>
  </si>
  <si>
    <t>M104</t>
  </si>
  <si>
    <t>M105</t>
  </si>
  <si>
    <t>M106</t>
  </si>
  <si>
    <t>M107</t>
  </si>
  <si>
    <t>M108</t>
  </si>
  <si>
    <t>M109</t>
  </si>
  <si>
    <t>M110</t>
  </si>
  <si>
    <t>M111</t>
  </si>
  <si>
    <t>M112</t>
  </si>
  <si>
    <t>M113</t>
  </si>
  <si>
    <t>M114</t>
  </si>
  <si>
    <t>M115</t>
  </si>
  <si>
    <t>M116</t>
  </si>
  <si>
    <t>M117</t>
  </si>
  <si>
    <t>M118</t>
  </si>
  <si>
    <t>M119</t>
  </si>
  <si>
    <t>M120</t>
  </si>
  <si>
    <t>M121</t>
  </si>
  <si>
    <t>M122</t>
  </si>
  <si>
    <t>M123</t>
  </si>
  <si>
    <t>M124</t>
  </si>
  <si>
    <t>M125</t>
  </si>
  <si>
    <t>M126</t>
  </si>
  <si>
    <t>M127</t>
  </si>
  <si>
    <t>M128</t>
  </si>
  <si>
    <t>M129</t>
  </si>
  <si>
    <t>M130</t>
  </si>
  <si>
    <t>M131</t>
  </si>
  <si>
    <t>阀门故障状态</t>
    <phoneticPr fontId="1" type="noConversion"/>
  </si>
  <si>
    <t>伺服报警状态</t>
    <phoneticPr fontId="1" type="noConversion"/>
  </si>
  <si>
    <t>阀门正压位置</t>
    <phoneticPr fontId="1" type="noConversion"/>
  </si>
  <si>
    <t>阀门负压位置</t>
    <phoneticPr fontId="1" type="noConversion"/>
  </si>
  <si>
    <t>M150</t>
    <phoneticPr fontId="1" type="noConversion"/>
  </si>
  <si>
    <t>M151</t>
  </si>
  <si>
    <t>M152</t>
  </si>
  <si>
    <t>M153</t>
  </si>
  <si>
    <t>M154</t>
  </si>
  <si>
    <t>M155</t>
  </si>
  <si>
    <t>M156</t>
  </si>
  <si>
    <t>M157</t>
  </si>
  <si>
    <t>M158</t>
  </si>
  <si>
    <t>M159</t>
  </si>
  <si>
    <t>M160</t>
  </si>
  <si>
    <t>M161</t>
  </si>
  <si>
    <t>M162</t>
  </si>
  <si>
    <t>M163</t>
  </si>
  <si>
    <t>M164</t>
  </si>
  <si>
    <t>阀门反馈状态</t>
    <phoneticPr fontId="1" type="noConversion"/>
  </si>
  <si>
    <t>D1608</t>
    <phoneticPr fontId="1" type="noConversion"/>
  </si>
  <si>
    <t>D1609</t>
  </si>
  <si>
    <t>D1610</t>
  </si>
  <si>
    <t>D1611</t>
  </si>
  <si>
    <t>D1640</t>
    <phoneticPr fontId="1" type="noConversion"/>
  </si>
  <si>
    <t>D1641</t>
  </si>
  <si>
    <t>D1642</t>
  </si>
  <si>
    <t>D1643</t>
  </si>
  <si>
    <t>D1644</t>
  </si>
  <si>
    <t>D1645</t>
  </si>
  <si>
    <t>D1646</t>
  </si>
  <si>
    <t>D1647</t>
  </si>
  <si>
    <t>D1648</t>
  </si>
  <si>
    <t>D1649</t>
  </si>
  <si>
    <t>D1650</t>
  </si>
  <si>
    <t>D1651</t>
  </si>
  <si>
    <t>D1652</t>
  </si>
  <si>
    <t>PLClink
阀门箱状态</t>
    <phoneticPr fontId="1" type="noConversion"/>
  </si>
  <si>
    <t>PLCLink阀门箱指令</t>
    <phoneticPr fontId="1" type="noConversion"/>
  </si>
  <si>
    <t>D1656</t>
    <phoneticPr fontId="1" type="noConversion"/>
  </si>
  <si>
    <t>D1657</t>
  </si>
  <si>
    <t>D1658</t>
  </si>
  <si>
    <t>D1659</t>
  </si>
  <si>
    <t>D1660</t>
  </si>
  <si>
    <t>D1661</t>
  </si>
  <si>
    <t>D1662</t>
  </si>
  <si>
    <t>D1663</t>
  </si>
  <si>
    <t>D1664</t>
  </si>
  <si>
    <t>D1665</t>
  </si>
  <si>
    <t>D1666</t>
  </si>
  <si>
    <t>阀门箱D600</t>
    <phoneticPr fontId="1" type="noConversion"/>
  </si>
  <si>
    <t>阀门箱D601</t>
  </si>
  <si>
    <t>阀门箱D602</t>
  </si>
  <si>
    <t>阀门箱D603</t>
  </si>
  <si>
    <t>阀门箱D604</t>
  </si>
  <si>
    <t>阀门箱D605</t>
  </si>
  <si>
    <t>阀门箱D606</t>
  </si>
  <si>
    <t>阀门箱D607</t>
  </si>
  <si>
    <t>阀门箱D608</t>
  </si>
  <si>
    <t>阀门箱D609</t>
  </si>
  <si>
    <t>阀门箱D610</t>
  </si>
  <si>
    <t>阀门箱D4500</t>
    <phoneticPr fontId="1" type="noConversion"/>
  </si>
  <si>
    <t>阀门箱D4501</t>
  </si>
  <si>
    <t>阀门箱D4502</t>
  </si>
  <si>
    <t>阀门箱D4503</t>
  </si>
  <si>
    <t>阀门箱D4504</t>
  </si>
  <si>
    <t>阀门箱D4505</t>
  </si>
  <si>
    <t>阀门箱D4506</t>
  </si>
  <si>
    <t>阀门箱D4507</t>
  </si>
  <si>
    <t>阀门箱D4508</t>
  </si>
  <si>
    <t>阀门箱D4509</t>
  </si>
  <si>
    <t>阀门箱D4510</t>
  </si>
  <si>
    <t>阀门箱D611</t>
  </si>
  <si>
    <t>阀门箱D612</t>
  </si>
  <si>
    <t>当前模式</t>
    <phoneticPr fontId="1" type="noConversion"/>
  </si>
  <si>
    <t>正压已波动次数</t>
    <phoneticPr fontId="1" type="noConversion"/>
  </si>
  <si>
    <t>负压已波动次数</t>
    <phoneticPr fontId="1" type="noConversion"/>
  </si>
  <si>
    <t>故障类型</t>
    <phoneticPr fontId="1" type="noConversion"/>
  </si>
  <si>
    <t>自检状态</t>
    <phoneticPr fontId="1" type="noConversion"/>
  </si>
  <si>
    <t>手动状态</t>
    <phoneticPr fontId="1" type="noConversion"/>
  </si>
  <si>
    <t>正压低压准备状态</t>
    <phoneticPr fontId="1" type="noConversion"/>
  </si>
  <si>
    <t>负压低压准备状态</t>
    <phoneticPr fontId="1" type="noConversion"/>
  </si>
  <si>
    <t>正压波动状态</t>
    <phoneticPr fontId="1" type="noConversion"/>
  </si>
  <si>
    <t>负压波动状态</t>
    <phoneticPr fontId="1" type="noConversion"/>
  </si>
  <si>
    <t>当前动作类型</t>
  </si>
  <si>
    <t>状态量1</t>
    <phoneticPr fontId="1" type="noConversion"/>
  </si>
  <si>
    <t>状态量2</t>
    <phoneticPr fontId="1" type="noConversion"/>
  </si>
  <si>
    <t>正压模式5</t>
    <phoneticPr fontId="1" type="noConversion"/>
  </si>
  <si>
    <t>负压模式6</t>
    <phoneticPr fontId="1" type="noConversion"/>
  </si>
  <si>
    <t>正压低压准备7</t>
    <phoneticPr fontId="1" type="noConversion"/>
  </si>
  <si>
    <t>负压低压准备8</t>
    <phoneticPr fontId="1" type="noConversion"/>
  </si>
  <si>
    <t>正压波动9</t>
    <phoneticPr fontId="1" type="noConversion"/>
  </si>
  <si>
    <t>负压波动10</t>
    <phoneticPr fontId="1" type="noConversion"/>
  </si>
  <si>
    <t>重新自检3</t>
    <phoneticPr fontId="1" type="noConversion"/>
  </si>
  <si>
    <t>故障复位88</t>
    <phoneticPr fontId="1" type="noConversion"/>
  </si>
  <si>
    <t>指令及数据暂存区</t>
    <phoneticPr fontId="1" type="noConversion"/>
  </si>
  <si>
    <t>D400</t>
    <phoneticPr fontId="1" type="noConversion"/>
  </si>
  <si>
    <t>模式</t>
    <phoneticPr fontId="1" type="noConversion"/>
  </si>
  <si>
    <t>D4100</t>
    <phoneticPr fontId="1" type="noConversion"/>
  </si>
  <si>
    <t>D4110</t>
    <phoneticPr fontId="1" type="noConversion"/>
  </si>
  <si>
    <t>D4120</t>
    <phoneticPr fontId="1" type="noConversion"/>
  </si>
  <si>
    <t>D4130</t>
    <phoneticPr fontId="1" type="noConversion"/>
  </si>
  <si>
    <t>D4102</t>
    <phoneticPr fontId="1" type="noConversion"/>
  </si>
  <si>
    <t>D4112</t>
    <phoneticPr fontId="1" type="noConversion"/>
  </si>
  <si>
    <t>D4122</t>
    <phoneticPr fontId="1" type="noConversion"/>
  </si>
  <si>
    <t>波动次数</t>
    <phoneticPr fontId="1" type="noConversion"/>
  </si>
  <si>
    <t>D4132</t>
    <phoneticPr fontId="1" type="noConversion"/>
  </si>
  <si>
    <t>D4124</t>
    <phoneticPr fontId="1" type="noConversion"/>
  </si>
  <si>
    <t>D4134</t>
    <phoneticPr fontId="1" type="noConversion"/>
  </si>
  <si>
    <t>D4104</t>
    <phoneticPr fontId="1" type="noConversion"/>
  </si>
  <si>
    <t>设定压力</t>
    <phoneticPr fontId="1" type="noConversion"/>
  </si>
  <si>
    <t>D4114</t>
    <phoneticPr fontId="1" type="noConversion"/>
  </si>
  <si>
    <t>D4105</t>
    <phoneticPr fontId="1" type="noConversion"/>
  </si>
  <si>
    <t>当前压力</t>
    <phoneticPr fontId="1" type="noConversion"/>
  </si>
  <si>
    <t>D4115</t>
    <phoneticPr fontId="1" type="noConversion"/>
  </si>
  <si>
    <t>喂狗</t>
    <phoneticPr fontId="1" type="noConversion"/>
  </si>
  <si>
    <t>阀门自检完成</t>
    <phoneticPr fontId="1" type="noConversion"/>
  </si>
  <si>
    <t>阀门正压降低</t>
    <phoneticPr fontId="1" type="noConversion"/>
  </si>
  <si>
    <t>阀门正压升高</t>
    <phoneticPr fontId="1" type="noConversion"/>
  </si>
  <si>
    <t>阀门负压降低</t>
    <phoneticPr fontId="1" type="noConversion"/>
  </si>
  <si>
    <t>阀门负压升高</t>
    <phoneticPr fontId="1" type="noConversion"/>
  </si>
  <si>
    <t>阀门正压模式完成</t>
    <phoneticPr fontId="1" type="noConversion"/>
  </si>
  <si>
    <t>阀门负压模式完成</t>
    <phoneticPr fontId="1" type="noConversion"/>
  </si>
  <si>
    <t>阀门正压波动准备完成</t>
    <phoneticPr fontId="1" type="noConversion"/>
  </si>
  <si>
    <t>阀门负压波动准备完成</t>
    <phoneticPr fontId="1" type="noConversion"/>
  </si>
  <si>
    <t>阀门正压波动完成</t>
    <phoneticPr fontId="1" type="noConversion"/>
  </si>
  <si>
    <t>阀门负压波动完成</t>
    <phoneticPr fontId="1" type="noConversion"/>
  </si>
  <si>
    <t>风机频率输出值</t>
    <phoneticPr fontId="1" type="noConversion"/>
  </si>
  <si>
    <t>风速细采集值</t>
    <phoneticPr fontId="1" type="noConversion"/>
  </si>
  <si>
    <t>风速粗采集值</t>
    <phoneticPr fontId="1" type="noConversion"/>
  </si>
  <si>
    <t>风速加粗采集值</t>
    <phoneticPr fontId="1" type="noConversion"/>
  </si>
  <si>
    <t>差压小采集值</t>
    <phoneticPr fontId="1" type="noConversion"/>
  </si>
  <si>
    <t>差压中采集值</t>
    <phoneticPr fontId="1" type="noConversion"/>
  </si>
  <si>
    <t>差压大采集值</t>
    <phoneticPr fontId="1" type="noConversion"/>
  </si>
  <si>
    <t>流量采集值</t>
    <phoneticPr fontId="1" type="noConversion"/>
  </si>
  <si>
    <t>D322</t>
  </si>
  <si>
    <t>D323</t>
  </si>
  <si>
    <t>D324</t>
  </si>
  <si>
    <t>D325</t>
  </si>
  <si>
    <t>D326</t>
  </si>
  <si>
    <t>D327</t>
  </si>
  <si>
    <t>D328</t>
  </si>
  <si>
    <t>D329</t>
  </si>
  <si>
    <t>D330</t>
  </si>
  <si>
    <t>D331</t>
  </si>
  <si>
    <t>D332</t>
  </si>
  <si>
    <t>D333</t>
  </si>
  <si>
    <t>D334</t>
  </si>
  <si>
    <t>D335</t>
  </si>
  <si>
    <t>D336</t>
  </si>
  <si>
    <t>D337</t>
  </si>
  <si>
    <t>换向阀当前模式</t>
    <phoneticPr fontId="1" type="noConversion"/>
  </si>
  <si>
    <t>换向阀故障类型</t>
    <phoneticPr fontId="1" type="noConversion"/>
  </si>
  <si>
    <t>换向阀自检状态</t>
    <phoneticPr fontId="1" type="noConversion"/>
  </si>
  <si>
    <t>换向阀手动状态</t>
    <phoneticPr fontId="1" type="noConversion"/>
  </si>
  <si>
    <t>换向阀状态量1</t>
    <phoneticPr fontId="1" type="noConversion"/>
  </si>
  <si>
    <t>换向阀状态量2</t>
    <phoneticPr fontId="1" type="noConversion"/>
  </si>
  <si>
    <t>M0-511，M768-999，M2000-2047</t>
    <phoneticPr fontId="1" type="noConversion"/>
  </si>
  <si>
    <t>D0-407，D600-999，D3920-9999</t>
    <phoneticPr fontId="1" type="noConversion"/>
  </si>
  <si>
    <t>水泵频率输出值</t>
    <phoneticPr fontId="1" type="noConversion"/>
  </si>
  <si>
    <t>换向阀正压已波次数</t>
    <phoneticPr fontId="1" type="noConversion"/>
  </si>
  <si>
    <t>换向阀负压已波次数</t>
    <phoneticPr fontId="1" type="noConversion"/>
  </si>
  <si>
    <t>换向阀正低压准备</t>
    <phoneticPr fontId="1" type="noConversion"/>
  </si>
  <si>
    <t>换向阀负低压准备</t>
    <phoneticPr fontId="1" type="noConversion"/>
  </si>
  <si>
    <t>换向阀正压波动</t>
    <phoneticPr fontId="1" type="noConversion"/>
  </si>
  <si>
    <t>换向阀负压波动</t>
    <phoneticPr fontId="1" type="noConversion"/>
  </si>
  <si>
    <t>换向阀当前动作</t>
    <phoneticPr fontId="1" type="noConversion"/>
  </si>
  <si>
    <t>小差压-485</t>
    <phoneticPr fontId="1" type="noConversion"/>
  </si>
  <si>
    <t>大差压-485</t>
    <phoneticPr fontId="1" type="noConversion"/>
  </si>
  <si>
    <t>粗风速-485</t>
    <phoneticPr fontId="1" type="noConversion"/>
  </si>
  <si>
    <t>细风速-485</t>
    <phoneticPr fontId="1" type="noConversion"/>
  </si>
  <si>
    <t>风速频率手动设定计算</t>
    <phoneticPr fontId="1" type="noConversion"/>
  </si>
  <si>
    <t>水泵频率手动设定计算</t>
    <phoneticPr fontId="1" type="noConversion"/>
  </si>
  <si>
    <t>X轴位移值（自编号）</t>
  </si>
  <si>
    <t>D34</t>
  </si>
  <si>
    <t>Y轴位移平均（自编号）</t>
  </si>
  <si>
    <t>D35</t>
  </si>
  <si>
    <t>Z轴位移平均（自编号）</t>
  </si>
  <si>
    <t>D36</t>
  </si>
  <si>
    <t>Y左+Y中（自编号）</t>
  </si>
  <si>
    <t>D37</t>
  </si>
  <si>
    <t>Y左+Y中+Y右（自编号）</t>
  </si>
  <si>
    <t>D38</t>
  </si>
  <si>
    <t>Z左+Z中（自编号）</t>
  </si>
  <si>
    <t>D39</t>
  </si>
  <si>
    <t>Z左+Z中+Z右（自编号）</t>
  </si>
  <si>
    <t>小差压修正值</t>
    <phoneticPr fontId="1" type="noConversion"/>
  </si>
  <si>
    <t>大差压修正值</t>
    <phoneticPr fontId="1" type="noConversion"/>
  </si>
  <si>
    <t>细风速修正值</t>
    <phoneticPr fontId="1" type="noConversion"/>
  </si>
  <si>
    <t>粗风速修正值</t>
    <phoneticPr fontId="1" type="noConversion"/>
  </si>
  <si>
    <t>小差压采集值</t>
    <phoneticPr fontId="1" type="noConversion"/>
  </si>
  <si>
    <t>大差压采集值</t>
    <phoneticPr fontId="1" type="noConversion"/>
  </si>
  <si>
    <t>细风速采集值</t>
    <phoneticPr fontId="1" type="noConversion"/>
  </si>
  <si>
    <t>粗风速采集值</t>
    <phoneticPr fontId="1" type="noConversion"/>
  </si>
  <si>
    <t>小差压计算值</t>
    <phoneticPr fontId="1" type="noConversion"/>
  </si>
  <si>
    <t>大差压计算值</t>
    <phoneticPr fontId="1" type="noConversion"/>
  </si>
  <si>
    <t>细风速计算值</t>
    <phoneticPr fontId="1" type="noConversion"/>
  </si>
  <si>
    <t>粗风速计算值</t>
    <phoneticPr fontId="1" type="noConversion"/>
  </si>
  <si>
    <t>水流量采集值</t>
    <phoneticPr fontId="1" type="noConversion"/>
  </si>
  <si>
    <t>水流量计算值</t>
    <phoneticPr fontId="1" type="noConversion"/>
  </si>
  <si>
    <t>X位移尺</t>
    <phoneticPr fontId="1" type="noConversion"/>
  </si>
  <si>
    <t>Y左位移尺</t>
    <phoneticPr fontId="1" type="noConversion"/>
  </si>
  <si>
    <t>Y中位移尺</t>
    <phoneticPr fontId="1" type="noConversion"/>
  </si>
  <si>
    <t>Y右位移尺</t>
    <phoneticPr fontId="1" type="noConversion"/>
  </si>
  <si>
    <t>Z左位移尺</t>
    <phoneticPr fontId="1" type="noConversion"/>
  </si>
  <si>
    <t>Z中位移尺</t>
    <phoneticPr fontId="1" type="noConversion"/>
  </si>
  <si>
    <t>Z右位移尺</t>
    <phoneticPr fontId="1" type="noConversion"/>
  </si>
  <si>
    <t>小差压传感器</t>
    <phoneticPr fontId="1" type="noConversion"/>
  </si>
  <si>
    <t>大差压传感器</t>
    <phoneticPr fontId="1" type="noConversion"/>
  </si>
  <si>
    <t>细管风速传感器</t>
    <phoneticPr fontId="1" type="noConversion"/>
  </si>
  <si>
    <t>粗管风速传感器</t>
    <phoneticPr fontId="1" type="noConversion"/>
  </si>
  <si>
    <t>风机变频器</t>
    <phoneticPr fontId="1" type="noConversion"/>
  </si>
  <si>
    <t>水泵变频器</t>
    <phoneticPr fontId="1" type="noConversion"/>
  </si>
  <si>
    <t>主管蝶阀</t>
  </si>
  <si>
    <t>粗管蝶阀</t>
  </si>
  <si>
    <t>细管蝶阀</t>
  </si>
  <si>
    <t>差压阀</t>
  </si>
  <si>
    <t>KM1</t>
  </si>
  <si>
    <t>液压站</t>
  </si>
  <si>
    <t>水泵</t>
  </si>
  <si>
    <t>气泵</t>
  </si>
  <si>
    <t>风机变频</t>
  </si>
  <si>
    <t>紧急停机</t>
    <phoneticPr fontId="1" type="noConversion"/>
  </si>
  <si>
    <t>M360</t>
    <phoneticPr fontId="1" type="noConversion"/>
  </si>
  <si>
    <t>中差压</t>
    <phoneticPr fontId="1" type="noConversion"/>
  </si>
  <si>
    <t>加粗风速</t>
    <phoneticPr fontId="1" type="noConversion"/>
  </si>
  <si>
    <t>水流量</t>
    <phoneticPr fontId="1" type="noConversion"/>
  </si>
  <si>
    <t>D4061</t>
  </si>
  <si>
    <t>D4062</t>
  </si>
  <si>
    <t>D4063</t>
  </si>
  <si>
    <t>加粗风速修正值</t>
    <phoneticPr fontId="1" type="noConversion"/>
  </si>
  <si>
    <t>水流量修正值</t>
    <phoneticPr fontId="1" type="noConversion"/>
  </si>
  <si>
    <t>中压差修正值</t>
    <phoneticPr fontId="1" type="noConversion"/>
  </si>
  <si>
    <t>加粗风速采集值</t>
    <phoneticPr fontId="1" type="noConversion"/>
  </si>
  <si>
    <t>中差压采集值</t>
    <phoneticPr fontId="1" type="noConversion"/>
  </si>
  <si>
    <t>加粗风速计算值</t>
    <phoneticPr fontId="1" type="noConversion"/>
  </si>
  <si>
    <t>D4064</t>
  </si>
  <si>
    <t>D4065</t>
  </si>
  <si>
    <t>中差压计算值</t>
    <phoneticPr fontId="1" type="noConversion"/>
  </si>
  <si>
    <t>D4030</t>
    <phoneticPr fontId="1" type="noConversion"/>
  </si>
  <si>
    <t>D4060</t>
    <phoneticPr fontId="1" type="noConversion"/>
  </si>
  <si>
    <t>D4066</t>
  </si>
  <si>
    <t>D4067</t>
  </si>
  <si>
    <t>D4068</t>
  </si>
  <si>
    <t>D4069</t>
  </si>
  <si>
    <t>D4070</t>
  </si>
  <si>
    <t>D4071</t>
  </si>
  <si>
    <t>D4072</t>
  </si>
  <si>
    <t>D4073</t>
  </si>
  <si>
    <t>D4074</t>
  </si>
  <si>
    <t>D4075</t>
  </si>
  <si>
    <t>D4076</t>
  </si>
  <si>
    <t>D4077</t>
  </si>
  <si>
    <t>D4078</t>
  </si>
  <si>
    <t>D4079</t>
  </si>
  <si>
    <t>D4080</t>
  </si>
  <si>
    <t>阀门模式</t>
    <phoneticPr fontId="1" type="noConversion"/>
  </si>
  <si>
    <t>D700</t>
    <phoneticPr fontId="1" type="noConversion"/>
  </si>
  <si>
    <t>程控输出</t>
    <phoneticPr fontId="1" type="noConversion"/>
  </si>
  <si>
    <t>液压站程控输出</t>
    <phoneticPr fontId="1" type="noConversion"/>
  </si>
  <si>
    <t>液压总阀程控输出</t>
    <phoneticPr fontId="1" type="noConversion"/>
  </si>
  <si>
    <t>X轴向右程控输出</t>
    <phoneticPr fontId="1" type="noConversion"/>
  </si>
  <si>
    <t>X轴向左程控输出</t>
    <phoneticPr fontId="1" type="noConversion"/>
  </si>
  <si>
    <t>Y轴向前程控输出</t>
    <phoneticPr fontId="1" type="noConversion"/>
  </si>
  <si>
    <t>Y轴向后程控输出</t>
    <phoneticPr fontId="1" type="noConversion"/>
  </si>
  <si>
    <t>Z轴向上程控输出</t>
    <phoneticPr fontId="1" type="noConversion"/>
  </si>
  <si>
    <t>Z轴向下程控输出</t>
    <phoneticPr fontId="1" type="noConversion"/>
  </si>
  <si>
    <t>主管蝶阀程控输出</t>
    <phoneticPr fontId="1" type="noConversion"/>
  </si>
  <si>
    <t>粗管蝶阀程控输出</t>
    <phoneticPr fontId="1" type="noConversion"/>
  </si>
  <si>
    <t>细管蝶阀程控输出</t>
    <phoneticPr fontId="1" type="noConversion"/>
  </si>
  <si>
    <t>加粗管蝶阀程控输出</t>
    <phoneticPr fontId="1" type="noConversion"/>
  </si>
  <si>
    <t>差压程控输出</t>
    <phoneticPr fontId="1" type="noConversion"/>
  </si>
  <si>
    <t>KM1程控输出</t>
    <phoneticPr fontId="1" type="noConversion"/>
  </si>
  <si>
    <t>水泵程控输出</t>
    <phoneticPr fontId="1" type="noConversion"/>
  </si>
  <si>
    <t>气泵程控输出</t>
    <phoneticPr fontId="1" type="noConversion"/>
  </si>
  <si>
    <t>风机变频程控输出</t>
    <phoneticPr fontId="1" type="noConversion"/>
  </si>
  <si>
    <t>水泵变频程控输出</t>
    <phoneticPr fontId="1" type="noConversion"/>
  </si>
  <si>
    <t>程控指令</t>
    <phoneticPr fontId="1" type="noConversion"/>
  </si>
  <si>
    <t>差压程控指令</t>
    <phoneticPr fontId="1" type="noConversion"/>
  </si>
  <si>
    <t>X轴向右程控指令</t>
    <phoneticPr fontId="1" type="noConversion"/>
  </si>
  <si>
    <t>X轴向左程控指令</t>
    <phoneticPr fontId="1" type="noConversion"/>
  </si>
  <si>
    <t>Y轴向前程控指令</t>
    <phoneticPr fontId="1" type="noConversion"/>
  </si>
  <si>
    <t>Y轴向后程控指令</t>
    <phoneticPr fontId="1" type="noConversion"/>
  </si>
  <si>
    <t>Z轴向上程控指令</t>
    <phoneticPr fontId="1" type="noConversion"/>
  </si>
  <si>
    <t>Z轴向下程控指令</t>
    <phoneticPr fontId="1" type="noConversion"/>
  </si>
  <si>
    <t>液压总阀程控指令</t>
    <phoneticPr fontId="1" type="noConversion"/>
  </si>
  <si>
    <t>KM1程控指令</t>
    <phoneticPr fontId="1" type="noConversion"/>
  </si>
  <si>
    <t>液压站程控指令</t>
    <phoneticPr fontId="1" type="noConversion"/>
  </si>
  <si>
    <t>水泵程控指令</t>
    <phoneticPr fontId="1" type="noConversion"/>
  </si>
  <si>
    <t>气泵程控指令</t>
    <phoneticPr fontId="1" type="noConversion"/>
  </si>
  <si>
    <t>风机变频程控指令</t>
    <phoneticPr fontId="1" type="noConversion"/>
  </si>
  <si>
    <t>水泵变频程控指令</t>
    <phoneticPr fontId="1" type="noConversion"/>
  </si>
  <si>
    <t>程控模式</t>
    <phoneticPr fontId="1" type="noConversion"/>
  </si>
  <si>
    <t>工作模式</t>
    <phoneticPr fontId="1" type="noConversion"/>
  </si>
  <si>
    <t>启停指令1</t>
    <phoneticPr fontId="1" type="noConversion"/>
  </si>
  <si>
    <t>启停指令2</t>
    <phoneticPr fontId="1" type="noConversion"/>
  </si>
  <si>
    <t>风机频率给定</t>
    <phoneticPr fontId="1" type="noConversion"/>
  </si>
  <si>
    <t>水泵频率给定</t>
    <phoneticPr fontId="1" type="noConversion"/>
  </si>
  <si>
    <t>低压准备脉冲频率</t>
    <phoneticPr fontId="1" type="noConversion"/>
  </si>
  <si>
    <t>低压准备脉冲个数</t>
    <phoneticPr fontId="1" type="noConversion"/>
  </si>
  <si>
    <t>波动脉冲频率</t>
    <phoneticPr fontId="1" type="noConversion"/>
  </si>
  <si>
    <t>低压准备频率</t>
    <phoneticPr fontId="1" type="noConversion"/>
  </si>
  <si>
    <t>波动脉冲修正</t>
    <phoneticPr fontId="1" type="noConversion"/>
  </si>
  <si>
    <t>程控指令暂存区</t>
    <phoneticPr fontId="1" type="noConversion"/>
  </si>
  <si>
    <t>D5002</t>
  </si>
  <si>
    <t>D5003</t>
  </si>
  <si>
    <t>D5004</t>
  </si>
  <si>
    <t>D5005</t>
  </si>
  <si>
    <t>D5006</t>
  </si>
  <si>
    <t>D5007</t>
  </si>
  <si>
    <t>D5008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</si>
  <si>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</si>
  <si>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</si>
  <si>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</si>
  <si>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</si>
  <si>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</si>
  <si>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</si>
  <si>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</si>
  <si>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</si>
  <si>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</si>
  <si>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X右目标左</t>
  </si>
  <si>
    <t>X右目标右</t>
  </si>
  <si>
    <t>X左目标左</t>
  </si>
  <si>
    <t>X左目标右</t>
  </si>
  <si>
    <t>Y前目标后</t>
  </si>
  <si>
    <t>Y前目标前</t>
  </si>
  <si>
    <t>Y后目标后</t>
  </si>
  <si>
    <t>Y后目标前</t>
  </si>
  <si>
    <t>Z上目标上</t>
  </si>
  <si>
    <t>Z上目标下</t>
  </si>
  <si>
    <t>Z下目标上</t>
  </si>
  <si>
    <t>Z下目标下</t>
  </si>
  <si>
    <t>X右偏差允许</t>
  </si>
  <si>
    <t>X左偏差允许</t>
  </si>
  <si>
    <t>Y前偏差允许</t>
  </si>
  <si>
    <t>Y后偏差允许</t>
  </si>
  <si>
    <t>Z上偏差允许</t>
  </si>
  <si>
    <t>Z下偏差允许</t>
  </si>
  <si>
    <t>X右定位修正</t>
  </si>
  <si>
    <t>X左定位修正</t>
  </si>
  <si>
    <t>Y前定位修正</t>
  </si>
  <si>
    <t>Y后定位修正</t>
  </si>
  <si>
    <t>Z上定位修正</t>
  </si>
  <si>
    <t>Z下定位修正</t>
  </si>
  <si>
    <t>阀门控制模式</t>
  </si>
  <si>
    <t>D1667</t>
  </si>
  <si>
    <t>D1668</t>
  </si>
  <si>
    <t>阀门控制指令暂存区</t>
    <phoneticPr fontId="1" type="noConversion"/>
  </si>
  <si>
    <t>D710</t>
    <phoneticPr fontId="1" type="noConversion"/>
  </si>
  <si>
    <t>03自检模式
05正压模式
06负压模式
07正压低压准备模式
08负压低压准备模式
09次数波动正压模式
10次数波动负压模式
88复位模式</t>
    <phoneticPr fontId="1" type="noConversion"/>
  </si>
  <si>
    <t>D711</t>
  </si>
  <si>
    <t>D712</t>
  </si>
  <si>
    <t>D713</t>
  </si>
  <si>
    <t>D714</t>
  </si>
  <si>
    <t>D715</t>
  </si>
  <si>
    <t>D716</t>
  </si>
  <si>
    <t>D717</t>
  </si>
  <si>
    <t>D718</t>
  </si>
  <si>
    <t>D719</t>
  </si>
  <si>
    <t>D720</t>
  </si>
  <si>
    <t>D721</t>
  </si>
  <si>
    <t>D722</t>
  </si>
  <si>
    <t>阀门运行模式暂存</t>
    <phoneticPr fontId="1" type="noConversion"/>
  </si>
  <si>
    <t>低压准备频率暂存</t>
    <phoneticPr fontId="1" type="noConversion"/>
  </si>
  <si>
    <t>低压准备脉冲个数暂存</t>
    <phoneticPr fontId="1" type="noConversion"/>
  </si>
  <si>
    <t>设定压力暂存</t>
    <phoneticPr fontId="1" type="noConversion"/>
  </si>
  <si>
    <t>波动脉冲频率暂存</t>
    <phoneticPr fontId="1" type="noConversion"/>
  </si>
  <si>
    <t>波动脉冲修正暂存</t>
    <phoneticPr fontId="1" type="noConversion"/>
  </si>
  <si>
    <t>波动次数暂存</t>
    <phoneticPr fontId="1" type="noConversion"/>
  </si>
  <si>
    <t>压力通道暂存(2大压差，3中压差）</t>
    <phoneticPr fontId="1" type="noConversion"/>
  </si>
  <si>
    <t>压力通道(2大压差，3中压差）</t>
    <phoneticPr fontId="1" type="noConversion"/>
  </si>
  <si>
    <t>D8121</t>
  </si>
  <si>
    <t>D8122</t>
  </si>
  <si>
    <t>D8123</t>
  </si>
  <si>
    <t>命令类型（300点动）</t>
    <phoneticPr fontId="1" type="noConversion"/>
  </si>
  <si>
    <t>命令类型（400持续）</t>
    <phoneticPr fontId="1" type="noConversion"/>
  </si>
  <si>
    <t>命令类型（500定点）</t>
    <phoneticPr fontId="1" type="noConversion"/>
  </si>
  <si>
    <t>调试手动位移及层间变形检测（有流量阀）</t>
    <phoneticPr fontId="1" type="noConversion"/>
  </si>
  <si>
    <t>位移指令暂存区</t>
    <phoneticPr fontId="1" type="noConversion"/>
  </si>
  <si>
    <t>位移定位偏差设定</t>
    <phoneticPr fontId="1" type="noConversion"/>
  </si>
  <si>
    <t>02位移模式</t>
    <phoneticPr fontId="1" type="noConversion"/>
  </si>
  <si>
    <t>D4500</t>
    <phoneticPr fontId="1" type="noConversion"/>
  </si>
  <si>
    <t>D4501</t>
  </si>
  <si>
    <t>D4502</t>
  </si>
  <si>
    <t>D4503</t>
  </si>
  <si>
    <t>D4504</t>
  </si>
  <si>
    <t>D4505</t>
  </si>
  <si>
    <t>D4506</t>
  </si>
  <si>
    <t>D4507</t>
  </si>
  <si>
    <t>D4508</t>
  </si>
  <si>
    <t>D4509</t>
  </si>
  <si>
    <t>D4510</t>
  </si>
  <si>
    <t>D4511</t>
  </si>
  <si>
    <t>D4512</t>
  </si>
  <si>
    <t>D4513</t>
  </si>
  <si>
    <t>D4514</t>
  </si>
  <si>
    <t>D4515</t>
  </si>
  <si>
    <t>D4516</t>
  </si>
  <si>
    <t>D4517</t>
  </si>
  <si>
    <t>D4518</t>
  </si>
  <si>
    <t>D4519</t>
  </si>
  <si>
    <t>D4520</t>
  </si>
  <si>
    <t>D4521</t>
  </si>
  <si>
    <t>D4522</t>
  </si>
  <si>
    <t>D4523</t>
  </si>
  <si>
    <t>工作模式01</t>
    <phoneticPr fontId="1" type="noConversion"/>
  </si>
  <si>
    <t>程控指令传输区</t>
    <phoneticPr fontId="1" type="noConversion"/>
  </si>
  <si>
    <t>指令功能：00待机，01程控，02位移，119紧急停机</t>
    <phoneticPr fontId="1" type="noConversion"/>
  </si>
  <si>
    <t>命令类型（100定位偏差参数）</t>
    <phoneticPr fontId="1" type="noConversion"/>
  </si>
  <si>
    <t>命令类型（100定位偏差参数，300点动，400持续，500定点）</t>
    <phoneticPr fontId="1" type="noConversion"/>
  </si>
  <si>
    <t>命令类型（100定位偏差参数设定）</t>
    <phoneticPr fontId="1" type="noConversion"/>
  </si>
  <si>
    <t>阀门看门狗暂存</t>
    <phoneticPr fontId="1" type="noConversion"/>
  </si>
  <si>
    <t>位移输出</t>
    <phoneticPr fontId="1" type="noConversion"/>
  </si>
  <si>
    <t>M250</t>
    <phoneticPr fontId="1" type="noConversion"/>
  </si>
  <si>
    <t>液压站位移输出</t>
    <phoneticPr fontId="1" type="noConversion"/>
  </si>
  <si>
    <t>液压总阀位移输出</t>
    <phoneticPr fontId="1" type="noConversion"/>
  </si>
  <si>
    <t>X右点动位移输出</t>
    <phoneticPr fontId="1" type="noConversion"/>
  </si>
  <si>
    <t>X左点动位移输出</t>
    <phoneticPr fontId="1" type="noConversion"/>
  </si>
  <si>
    <t>Y前点动位移输出</t>
    <phoneticPr fontId="1" type="noConversion"/>
  </si>
  <si>
    <t>Y后点动位移输出</t>
    <phoneticPr fontId="1" type="noConversion"/>
  </si>
  <si>
    <t>Z上点动位移输出</t>
    <phoneticPr fontId="1" type="noConversion"/>
  </si>
  <si>
    <t>Z下点动位移输出</t>
    <phoneticPr fontId="1" type="noConversion"/>
  </si>
  <si>
    <t>X右持续位移输出</t>
    <phoneticPr fontId="1" type="noConversion"/>
  </si>
  <si>
    <t>X左持续位移输出</t>
    <phoneticPr fontId="1" type="noConversion"/>
  </si>
  <si>
    <t>Y前持续位移输出</t>
    <phoneticPr fontId="1" type="noConversion"/>
  </si>
  <si>
    <t>Y后持续位移输出</t>
    <phoneticPr fontId="1" type="noConversion"/>
  </si>
  <si>
    <t>Z上持续位移输出</t>
    <phoneticPr fontId="1" type="noConversion"/>
  </si>
  <si>
    <t>Z下持续位移输出</t>
    <phoneticPr fontId="1" type="noConversion"/>
  </si>
  <si>
    <t>X右定点位移输出</t>
    <phoneticPr fontId="1" type="noConversion"/>
  </si>
  <si>
    <t>X左定点位移输出</t>
    <phoneticPr fontId="1" type="noConversion"/>
  </si>
  <si>
    <t>Y前定点位移输出</t>
    <phoneticPr fontId="1" type="noConversion"/>
  </si>
  <si>
    <t>Y后定点位移输出</t>
    <phoneticPr fontId="1" type="noConversion"/>
  </si>
  <si>
    <t>Z上定点位移输出</t>
    <phoneticPr fontId="1" type="noConversion"/>
  </si>
  <si>
    <t>Z下定点位移输出</t>
    <phoneticPr fontId="1" type="noConversion"/>
  </si>
  <si>
    <t>位移指令传输区</t>
    <phoneticPr fontId="1" type="noConversion"/>
  </si>
  <si>
    <t>M261</t>
  </si>
  <si>
    <t>M262</t>
  </si>
  <si>
    <t>M263</t>
  </si>
  <si>
    <t>M264</t>
  </si>
  <si>
    <t>M265</t>
  </si>
  <si>
    <t>M266</t>
  </si>
  <si>
    <t>M267</t>
  </si>
  <si>
    <t>M268</t>
  </si>
  <si>
    <t>M269</t>
  </si>
  <si>
    <t>119紧急停机，
01程控模式，
02位移模式</t>
    <phoneticPr fontId="1" type="noConversion"/>
  </si>
  <si>
    <t>X持续方向（0停1右2左）</t>
    <phoneticPr fontId="1" type="noConversion"/>
  </si>
  <si>
    <t>命令类型（900停止）</t>
    <phoneticPr fontId="1" type="noConversion"/>
  </si>
  <si>
    <t>命令类型（100定位偏差参数，300点动，400持续，500定点，900停止）</t>
    <phoneticPr fontId="1" type="noConversion"/>
  </si>
  <si>
    <t>主管蝶阀1程控指令</t>
    <phoneticPr fontId="1" type="noConversion"/>
  </si>
  <si>
    <t>粗管蝶阀2程控指令</t>
    <phoneticPr fontId="1" type="noConversion"/>
  </si>
  <si>
    <t>细管蝶阀3程控指令</t>
    <phoneticPr fontId="1" type="noConversion"/>
  </si>
  <si>
    <t>加粗管蝶阀4程控指令</t>
    <phoneticPr fontId="1" type="noConversion"/>
  </si>
  <si>
    <t>主管蝶阀1开状态</t>
    <phoneticPr fontId="1" type="noConversion"/>
  </si>
  <si>
    <t>粗管蝶阀2开状态</t>
    <phoneticPr fontId="1" type="noConversion"/>
  </si>
  <si>
    <t>细管蝶阀3开状态</t>
    <phoneticPr fontId="1" type="noConversion"/>
  </si>
  <si>
    <t>加粗管蝶阀4状态</t>
    <phoneticPr fontId="1" type="noConversion"/>
  </si>
  <si>
    <t>压力通道(2大3中)</t>
    <phoneticPr fontId="1" type="noConversion"/>
  </si>
  <si>
    <t>阀门箱D4511</t>
  </si>
  <si>
    <t>阀门箱D4512</t>
  </si>
  <si>
    <t>看门狗指令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</si>
</sst>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8"/>
      <color theme="1"/>
      <name val="宋体"/>
      <family val="3"/>
      <charset val="134"/>
    </font>
    <font>
      <sz val="8"/>
      <color theme="1"/>
      <name val="黑体"/>
      <family val="3"/>
      <charset val="134"/>
    </font>
    <font>
      <sz val="9"/>
      <color theme="1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/>
    </xf>
    <xf numFmtId="0" fontId="2" fillId="0" borderId="8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3"/>
  <sheetViews>
    <sheetView workbookViewId="0">
      <selection activeCell="A2" sqref="A2:J33"/>
    </sheetView>
  </sheetViews>
  <sheetFormatPr defaultRowHeight="18" customHeight="1" x14ac:dyDescent="0.2"/>
  <cols>
    <col min="1" max="2" width="4.5" style="7" bestFit="1" customWidth="1"/>
    <col min="3" max="4" width="11.25" style="7" bestFit="1" customWidth="1"/>
    <col min="5" max="5" width="9.375" style="7" bestFit="1" customWidth="1"/>
    <col min="6" max="6" width="8.375" style="7" customWidth="1"/>
    <col min="7" max="7" width="7.5" style="7" bestFit="1" customWidth="1"/>
    <col min="8" max="8" width="9" style="7" bestFit="1" customWidth="1"/>
    <col min="9" max="9" width="4.5" style="7" bestFit="1" customWidth="1"/>
    <col min="10" max="10" width="8.375" style="7" customWidth="1"/>
    <col min="11" max="16384" width="9" style="7"/>
  </cols>
  <sheetData>
    <row r="1" spans="1:10" s="10" customFormat="1" ht="18" customHeight="1" x14ac:dyDescent="0.2">
      <c r="A1" s="9" t="s">
        <v>0</v>
      </c>
      <c r="B1" s="9" t="s">
        <v>1</v>
      </c>
      <c r="C1" s="9" t="s">
        <v>5</v>
      </c>
      <c r="D1" s="9" t="s">
        <v>6</v>
      </c>
      <c r="E1" s="9" t="s">
        <v>2</v>
      </c>
      <c r="F1" s="9" t="s">
        <v>61</v>
      </c>
      <c r="G1" s="9" t="s">
        <v>72</v>
      </c>
      <c r="H1" s="9" t="s">
        <v>73</v>
      </c>
      <c r="I1" s="9" t="s">
        <v>48</v>
      </c>
      <c r="J1" s="9" t="s">
        <v>47</v>
      </c>
    </row>
    <row r="2" spans="1:10" ht="18" customHeight="1" x14ac:dyDescent="0.2">
      <c r="A2" s="26" t="s">
        <v>3</v>
      </c>
      <c r="B2" s="1">
        <v>1</v>
      </c>
      <c r="C2" s="1" t="s">
        <v>41</v>
      </c>
      <c r="D2" s="1" t="s">
        <v>42</v>
      </c>
      <c r="E2" s="1" t="s">
        <v>44</v>
      </c>
      <c r="F2" s="1" t="s">
        <v>62</v>
      </c>
      <c r="G2" s="1" t="s">
        <v>49</v>
      </c>
      <c r="H2" s="1" t="s">
        <v>49</v>
      </c>
      <c r="I2" s="1" t="s">
        <v>49</v>
      </c>
      <c r="J2" s="23" t="s">
        <v>97</v>
      </c>
    </row>
    <row r="3" spans="1:10" ht="18" customHeight="1" x14ac:dyDescent="0.2">
      <c r="A3" s="26"/>
      <c r="B3" s="1">
        <v>2</v>
      </c>
      <c r="C3" s="1" t="s">
        <v>89</v>
      </c>
      <c r="D3" s="1"/>
      <c r="E3" s="1"/>
      <c r="F3" s="1" t="s">
        <v>62</v>
      </c>
      <c r="G3" s="1" t="s">
        <v>50</v>
      </c>
      <c r="H3" s="1" t="s">
        <v>49</v>
      </c>
      <c r="I3" s="1" t="s">
        <v>49</v>
      </c>
      <c r="J3" s="23"/>
    </row>
    <row r="4" spans="1:10" ht="18" customHeight="1" x14ac:dyDescent="0.2">
      <c r="A4" s="26"/>
      <c r="B4" s="1">
        <v>3</v>
      </c>
      <c r="C4" s="1" t="s">
        <v>89</v>
      </c>
      <c r="D4" s="1"/>
      <c r="E4" s="1"/>
      <c r="F4" s="1" t="s">
        <v>62</v>
      </c>
      <c r="G4" s="1" t="s">
        <v>51</v>
      </c>
      <c r="H4" s="1" t="s">
        <v>49</v>
      </c>
      <c r="I4" s="1" t="s">
        <v>49</v>
      </c>
      <c r="J4" s="1"/>
    </row>
    <row r="5" spans="1:10" ht="18" customHeight="1" x14ac:dyDescent="0.2">
      <c r="A5" s="26"/>
      <c r="B5" s="1">
        <v>4</v>
      </c>
      <c r="C5" s="1" t="s">
        <v>89</v>
      </c>
      <c r="D5" s="1"/>
      <c r="E5" s="1"/>
      <c r="F5" s="1" t="s">
        <v>62</v>
      </c>
      <c r="G5" s="1" t="s">
        <v>52</v>
      </c>
      <c r="H5" s="1" t="s">
        <v>49</v>
      </c>
      <c r="I5" s="1" t="s">
        <v>49</v>
      </c>
      <c r="J5" s="1"/>
    </row>
    <row r="6" spans="1:10" ht="18" customHeight="1" x14ac:dyDescent="0.2">
      <c r="A6" s="26"/>
      <c r="B6" s="1">
        <v>5</v>
      </c>
      <c r="C6" s="1" t="s">
        <v>89</v>
      </c>
      <c r="D6" s="1"/>
      <c r="E6" s="1"/>
      <c r="F6" s="1" t="s">
        <v>62</v>
      </c>
      <c r="G6" s="1" t="s">
        <v>53</v>
      </c>
      <c r="H6" s="1" t="s">
        <v>49</v>
      </c>
      <c r="I6" s="1" t="s">
        <v>49</v>
      </c>
      <c r="J6" s="1"/>
    </row>
    <row r="7" spans="1:10" ht="18" customHeight="1" x14ac:dyDescent="0.2">
      <c r="A7" s="26"/>
      <c r="B7" s="1">
        <v>6</v>
      </c>
      <c r="C7" s="1" t="s">
        <v>89</v>
      </c>
      <c r="D7" s="1"/>
      <c r="E7" s="1"/>
      <c r="F7" s="1" t="s">
        <v>62</v>
      </c>
      <c r="G7" s="1" t="s">
        <v>9</v>
      </c>
      <c r="H7" s="1" t="s">
        <v>49</v>
      </c>
      <c r="I7" s="1" t="s">
        <v>49</v>
      </c>
      <c r="J7" s="1"/>
    </row>
    <row r="8" spans="1:10" ht="18" customHeight="1" x14ac:dyDescent="0.2">
      <c r="A8" s="26"/>
      <c r="B8" s="1">
        <v>7</v>
      </c>
      <c r="C8" s="1" t="s">
        <v>89</v>
      </c>
      <c r="D8" s="1"/>
      <c r="E8" s="1"/>
      <c r="F8" s="1" t="s">
        <v>62</v>
      </c>
      <c r="G8" s="1" t="s">
        <v>10</v>
      </c>
      <c r="H8" s="1" t="s">
        <v>49</v>
      </c>
      <c r="I8" s="1" t="s">
        <v>49</v>
      </c>
      <c r="J8" s="1"/>
    </row>
    <row r="9" spans="1:10" ht="18" customHeight="1" x14ac:dyDescent="0.2">
      <c r="A9" s="26"/>
      <c r="B9" s="1">
        <v>8</v>
      </c>
      <c r="C9" s="1" t="s">
        <v>89</v>
      </c>
      <c r="D9" s="1"/>
      <c r="E9" s="1"/>
      <c r="F9" s="1" t="s">
        <v>62</v>
      </c>
      <c r="G9" s="1" t="s">
        <v>11</v>
      </c>
      <c r="H9" s="1" t="s">
        <v>49</v>
      </c>
      <c r="I9" s="1" t="s">
        <v>49</v>
      </c>
      <c r="J9" s="1"/>
    </row>
    <row r="10" spans="1:10" ht="18" customHeight="1" x14ac:dyDescent="0.2">
      <c r="A10" s="26"/>
      <c r="B10" s="1">
        <v>9</v>
      </c>
      <c r="C10" s="1" t="s">
        <v>89</v>
      </c>
      <c r="D10" s="1"/>
      <c r="E10" s="1"/>
      <c r="F10" s="1" t="s">
        <v>62</v>
      </c>
      <c r="G10" s="1" t="s">
        <v>84</v>
      </c>
      <c r="H10" s="1" t="s">
        <v>84</v>
      </c>
      <c r="I10" s="1" t="s">
        <v>84</v>
      </c>
      <c r="J10" s="1"/>
    </row>
    <row r="11" spans="1:10" ht="18" customHeight="1" x14ac:dyDescent="0.2">
      <c r="A11" s="26"/>
      <c r="B11" s="1">
        <v>10</v>
      </c>
      <c r="C11" s="1" t="s">
        <v>89</v>
      </c>
      <c r="D11" s="1"/>
      <c r="E11" s="1"/>
      <c r="F11" s="1" t="s">
        <v>62</v>
      </c>
      <c r="G11" s="1" t="s">
        <v>90</v>
      </c>
      <c r="H11" s="1" t="s">
        <v>90</v>
      </c>
      <c r="I11" s="1" t="s">
        <v>90</v>
      </c>
      <c r="J11" s="1"/>
    </row>
    <row r="12" spans="1:10" ht="18" customHeight="1" x14ac:dyDescent="0.2">
      <c r="A12" s="26"/>
      <c r="B12" s="1">
        <v>11</v>
      </c>
      <c r="C12" s="1" t="s">
        <v>89</v>
      </c>
      <c r="D12" s="1"/>
      <c r="E12" s="1"/>
      <c r="F12" s="1" t="s">
        <v>62</v>
      </c>
      <c r="G12" s="1" t="s">
        <v>91</v>
      </c>
      <c r="H12" s="1" t="s">
        <v>91</v>
      </c>
      <c r="I12" s="1" t="s">
        <v>91</v>
      </c>
      <c r="J12" s="1"/>
    </row>
    <row r="13" spans="1:10" ht="18" customHeight="1" x14ac:dyDescent="0.2">
      <c r="A13" s="26"/>
      <c r="B13" s="1">
        <v>12</v>
      </c>
      <c r="C13" s="1" t="s">
        <v>89</v>
      </c>
      <c r="D13" s="1"/>
      <c r="E13" s="1"/>
      <c r="F13" s="1" t="s">
        <v>62</v>
      </c>
      <c r="G13" s="1" t="s">
        <v>92</v>
      </c>
      <c r="H13" s="1" t="s">
        <v>92</v>
      </c>
      <c r="I13" s="1" t="s">
        <v>92</v>
      </c>
      <c r="J13" s="1"/>
    </row>
    <row r="14" spans="1:10" ht="18" customHeight="1" x14ac:dyDescent="0.2">
      <c r="A14" s="26"/>
      <c r="B14" s="1">
        <v>13</v>
      </c>
      <c r="C14" s="1" t="s">
        <v>89</v>
      </c>
      <c r="D14" s="1"/>
      <c r="E14" s="1"/>
      <c r="F14" s="1" t="s">
        <v>62</v>
      </c>
      <c r="G14" s="1" t="s">
        <v>93</v>
      </c>
      <c r="H14" s="1" t="s">
        <v>93</v>
      </c>
      <c r="I14" s="1" t="s">
        <v>93</v>
      </c>
      <c r="J14" s="1"/>
    </row>
    <row r="15" spans="1:10" ht="18" customHeight="1" x14ac:dyDescent="0.2">
      <c r="A15" s="26"/>
      <c r="B15" s="1">
        <v>14</v>
      </c>
      <c r="C15" s="1" t="s">
        <v>89</v>
      </c>
      <c r="D15" s="1"/>
      <c r="E15" s="1"/>
      <c r="F15" s="1" t="s">
        <v>62</v>
      </c>
      <c r="G15" s="1" t="s">
        <v>94</v>
      </c>
      <c r="H15" s="1" t="s">
        <v>94</v>
      </c>
      <c r="I15" s="1" t="s">
        <v>94</v>
      </c>
      <c r="J15" s="1"/>
    </row>
    <row r="16" spans="1:10" ht="18" customHeight="1" x14ac:dyDescent="0.2">
      <c r="A16" s="26"/>
      <c r="B16" s="1">
        <v>15</v>
      </c>
      <c r="C16" s="1" t="s">
        <v>89</v>
      </c>
      <c r="D16" s="1"/>
      <c r="E16" s="1"/>
      <c r="F16" s="1" t="s">
        <v>62</v>
      </c>
      <c r="G16" s="1" t="s">
        <v>95</v>
      </c>
      <c r="H16" s="1" t="s">
        <v>95</v>
      </c>
      <c r="I16" s="1" t="s">
        <v>95</v>
      </c>
      <c r="J16" s="1"/>
    </row>
    <row r="17" spans="1:10" ht="18" customHeight="1" x14ac:dyDescent="0.2">
      <c r="A17" s="26"/>
      <c r="B17" s="1">
        <v>16</v>
      </c>
      <c r="C17" s="1" t="s">
        <v>89</v>
      </c>
      <c r="D17" s="1"/>
      <c r="E17" s="1"/>
      <c r="F17" s="1" t="s">
        <v>62</v>
      </c>
      <c r="G17" s="1" t="s">
        <v>96</v>
      </c>
      <c r="H17" s="1" t="s">
        <v>96</v>
      </c>
      <c r="I17" s="1" t="s">
        <v>96</v>
      </c>
      <c r="J17" s="1"/>
    </row>
    <row r="18" spans="1:10" ht="18" customHeight="1" x14ac:dyDescent="0.2">
      <c r="A18" s="26" t="s">
        <v>4</v>
      </c>
      <c r="B18" s="1">
        <v>1</v>
      </c>
      <c r="C18" s="1" t="s">
        <v>833</v>
      </c>
      <c r="D18" s="1" t="s">
        <v>29</v>
      </c>
      <c r="E18" s="1" t="s">
        <v>99</v>
      </c>
      <c r="F18" s="1" t="s">
        <v>62</v>
      </c>
      <c r="G18" s="1" t="s">
        <v>12</v>
      </c>
      <c r="H18" s="1" t="s">
        <v>12</v>
      </c>
      <c r="I18" s="1" t="s">
        <v>12</v>
      </c>
      <c r="J18" s="1" t="s">
        <v>88</v>
      </c>
    </row>
    <row r="19" spans="1:10" ht="18" customHeight="1" x14ac:dyDescent="0.2">
      <c r="A19" s="26"/>
      <c r="B19" s="1">
        <v>2</v>
      </c>
      <c r="C19" s="1" t="s">
        <v>834</v>
      </c>
      <c r="D19" s="1" t="s">
        <v>29</v>
      </c>
      <c r="E19" s="1" t="s">
        <v>99</v>
      </c>
      <c r="F19" s="1" t="s">
        <v>62</v>
      </c>
      <c r="G19" s="1" t="s">
        <v>13</v>
      </c>
      <c r="H19" s="1" t="s">
        <v>13</v>
      </c>
      <c r="I19" s="1" t="s">
        <v>13</v>
      </c>
      <c r="J19" s="1" t="s">
        <v>88</v>
      </c>
    </row>
    <row r="20" spans="1:10" ht="18" customHeight="1" x14ac:dyDescent="0.2">
      <c r="A20" s="26"/>
      <c r="B20" s="1">
        <v>3</v>
      </c>
      <c r="C20" s="1" t="s">
        <v>835</v>
      </c>
      <c r="D20" s="1" t="s">
        <v>29</v>
      </c>
      <c r="E20" s="1" t="s">
        <v>99</v>
      </c>
      <c r="F20" s="1" t="s">
        <v>62</v>
      </c>
      <c r="G20" s="1" t="s">
        <v>14</v>
      </c>
      <c r="H20" s="1" t="s">
        <v>14</v>
      </c>
      <c r="I20" s="1" t="s">
        <v>14</v>
      </c>
      <c r="J20" s="1" t="s">
        <v>88</v>
      </c>
    </row>
    <row r="21" spans="1:10" ht="18" customHeight="1" x14ac:dyDescent="0.2">
      <c r="A21" s="26"/>
      <c r="B21" s="1">
        <v>4</v>
      </c>
      <c r="C21" s="1" t="s">
        <v>836</v>
      </c>
      <c r="D21" s="1" t="s">
        <v>29</v>
      </c>
      <c r="E21" s="1" t="s">
        <v>99</v>
      </c>
      <c r="F21" s="1" t="s">
        <v>62</v>
      </c>
      <c r="G21" s="1" t="s">
        <v>15</v>
      </c>
      <c r="H21" s="1" t="s">
        <v>15</v>
      </c>
      <c r="I21" s="1" t="s">
        <v>15</v>
      </c>
      <c r="J21" s="1" t="s">
        <v>88</v>
      </c>
    </row>
    <row r="22" spans="1:10" ht="18" customHeight="1" x14ac:dyDescent="0.2">
      <c r="A22" s="26"/>
      <c r="B22" s="1">
        <v>5</v>
      </c>
      <c r="C22" s="27" t="s">
        <v>34</v>
      </c>
      <c r="D22" s="1" t="s">
        <v>175</v>
      </c>
      <c r="E22" s="1" t="s">
        <v>99</v>
      </c>
      <c r="F22" s="1" t="s">
        <v>62</v>
      </c>
      <c r="G22" s="1" t="s">
        <v>16</v>
      </c>
      <c r="H22" s="1" t="s">
        <v>16</v>
      </c>
      <c r="I22" s="1" t="s">
        <v>16</v>
      </c>
      <c r="J22" s="1"/>
    </row>
    <row r="23" spans="1:10" ht="18" customHeight="1" x14ac:dyDescent="0.2">
      <c r="A23" s="26"/>
      <c r="B23" s="1">
        <v>6</v>
      </c>
      <c r="C23" s="28"/>
      <c r="D23" s="1" t="s">
        <v>176</v>
      </c>
      <c r="E23" s="1" t="s">
        <v>99</v>
      </c>
      <c r="F23" s="1" t="s">
        <v>62</v>
      </c>
      <c r="G23" s="1" t="s">
        <v>17</v>
      </c>
      <c r="H23" s="1" t="s">
        <v>17</v>
      </c>
      <c r="I23" s="1" t="s">
        <v>17</v>
      </c>
      <c r="J23" s="1"/>
    </row>
    <row r="24" spans="1:10" ht="18" customHeight="1" x14ac:dyDescent="0.2">
      <c r="A24" s="26"/>
      <c r="B24" s="1">
        <v>7</v>
      </c>
      <c r="C24" s="27" t="s">
        <v>35</v>
      </c>
      <c r="D24" s="1" t="s">
        <v>177</v>
      </c>
      <c r="E24" s="1" t="s">
        <v>99</v>
      </c>
      <c r="F24" s="1" t="s">
        <v>62</v>
      </c>
      <c r="G24" s="1" t="s">
        <v>54</v>
      </c>
      <c r="H24" s="1" t="s">
        <v>54</v>
      </c>
      <c r="I24" s="1" t="s">
        <v>54</v>
      </c>
      <c r="J24" s="1"/>
    </row>
    <row r="25" spans="1:10" ht="18" customHeight="1" x14ac:dyDescent="0.2">
      <c r="A25" s="26"/>
      <c r="B25" s="1">
        <v>8</v>
      </c>
      <c r="C25" s="28"/>
      <c r="D25" s="1" t="s">
        <v>178</v>
      </c>
      <c r="E25" s="1" t="s">
        <v>99</v>
      </c>
      <c r="F25" s="1" t="s">
        <v>62</v>
      </c>
      <c r="G25" s="1" t="s">
        <v>55</v>
      </c>
      <c r="H25" s="1" t="s">
        <v>55</v>
      </c>
      <c r="I25" s="1" t="s">
        <v>55</v>
      </c>
      <c r="J25" s="1"/>
    </row>
    <row r="26" spans="1:10" ht="18" customHeight="1" x14ac:dyDescent="0.2">
      <c r="A26" s="26"/>
      <c r="B26" s="1">
        <v>9</v>
      </c>
      <c r="C26" s="27" t="s">
        <v>36</v>
      </c>
      <c r="D26" s="1" t="s">
        <v>179</v>
      </c>
      <c r="E26" s="1" t="s">
        <v>99</v>
      </c>
      <c r="F26" s="1" t="s">
        <v>62</v>
      </c>
      <c r="G26" s="1" t="s">
        <v>85</v>
      </c>
      <c r="H26" s="1" t="s">
        <v>85</v>
      </c>
      <c r="I26" s="1" t="s">
        <v>85</v>
      </c>
      <c r="J26" s="1"/>
    </row>
    <row r="27" spans="1:10" ht="18" customHeight="1" x14ac:dyDescent="0.2">
      <c r="A27" s="26"/>
      <c r="B27" s="1">
        <v>10</v>
      </c>
      <c r="C27" s="28"/>
      <c r="D27" s="1" t="s">
        <v>180</v>
      </c>
      <c r="E27" s="1" t="s">
        <v>99</v>
      </c>
      <c r="F27" s="1" t="s">
        <v>62</v>
      </c>
      <c r="G27" s="1" t="s">
        <v>56</v>
      </c>
      <c r="H27" s="1" t="s">
        <v>56</v>
      </c>
      <c r="I27" s="1" t="s">
        <v>56</v>
      </c>
      <c r="J27" s="1"/>
    </row>
    <row r="28" spans="1:10" ht="18" customHeight="1" x14ac:dyDescent="0.2">
      <c r="A28" s="26"/>
      <c r="B28" s="1">
        <v>11</v>
      </c>
      <c r="C28" s="1" t="s">
        <v>43</v>
      </c>
      <c r="D28" s="1" t="s">
        <v>29</v>
      </c>
      <c r="E28" s="1" t="s">
        <v>99</v>
      </c>
      <c r="F28" s="1" t="s">
        <v>62</v>
      </c>
      <c r="G28" s="1" t="s">
        <v>57</v>
      </c>
      <c r="H28" s="1" t="s">
        <v>57</v>
      </c>
      <c r="I28" s="1" t="s">
        <v>57</v>
      </c>
      <c r="J28" s="1"/>
    </row>
    <row r="29" spans="1:10" ht="18" customHeight="1" x14ac:dyDescent="0.2">
      <c r="A29" s="26"/>
      <c r="B29" s="1">
        <v>12</v>
      </c>
      <c r="C29" s="7" t="s">
        <v>837</v>
      </c>
      <c r="D29" s="1" t="s">
        <v>181</v>
      </c>
      <c r="E29" s="1" t="s">
        <v>99</v>
      </c>
      <c r="F29" s="1" t="s">
        <v>62</v>
      </c>
      <c r="G29" s="1" t="s">
        <v>58</v>
      </c>
      <c r="H29" s="1" t="s">
        <v>58</v>
      </c>
      <c r="I29" s="1" t="s">
        <v>58</v>
      </c>
      <c r="J29" s="1"/>
    </row>
    <row r="30" spans="1:10" ht="18" customHeight="1" x14ac:dyDescent="0.2">
      <c r="A30" s="26"/>
      <c r="B30" s="1">
        <v>13</v>
      </c>
      <c r="C30" s="7" t="s">
        <v>838</v>
      </c>
      <c r="D30" s="1" t="s">
        <v>181</v>
      </c>
      <c r="E30" s="1" t="s">
        <v>99</v>
      </c>
      <c r="F30" s="1" t="s">
        <v>62</v>
      </c>
      <c r="G30" s="1" t="s">
        <v>59</v>
      </c>
      <c r="H30" s="1" t="s">
        <v>59</v>
      </c>
      <c r="I30" s="1" t="s">
        <v>59</v>
      </c>
      <c r="J30" s="1"/>
    </row>
    <row r="31" spans="1:10" ht="18" customHeight="1" x14ac:dyDescent="0.2">
      <c r="A31" s="26"/>
      <c r="B31" s="1">
        <v>14</v>
      </c>
      <c r="C31" s="7" t="s">
        <v>839</v>
      </c>
      <c r="D31" s="1" t="s">
        <v>181</v>
      </c>
      <c r="E31" s="1" t="s">
        <v>99</v>
      </c>
      <c r="F31" s="1" t="s">
        <v>62</v>
      </c>
      <c r="G31" s="1" t="s">
        <v>60</v>
      </c>
      <c r="H31" s="1" t="s">
        <v>60</v>
      </c>
      <c r="I31" s="1" t="s">
        <v>60</v>
      </c>
      <c r="J31" s="1"/>
    </row>
    <row r="32" spans="1:10" ht="18" customHeight="1" x14ac:dyDescent="0.2">
      <c r="A32" s="26"/>
      <c r="B32" s="1">
        <v>15</v>
      </c>
      <c r="C32" s="7" t="s">
        <v>840</v>
      </c>
      <c r="D32" s="1" t="s">
        <v>181</v>
      </c>
      <c r="E32" s="1" t="s">
        <v>99</v>
      </c>
      <c r="F32" s="1" t="s">
        <v>62</v>
      </c>
      <c r="G32" s="1" t="s">
        <v>86</v>
      </c>
      <c r="H32" s="1" t="s">
        <v>86</v>
      </c>
      <c r="I32" s="1" t="s">
        <v>86</v>
      </c>
      <c r="J32" s="1"/>
    </row>
    <row r="33" spans="1:10" ht="18" customHeight="1" x14ac:dyDescent="0.2">
      <c r="A33" s="26"/>
      <c r="B33" s="1">
        <v>16</v>
      </c>
      <c r="C33" s="1" t="s">
        <v>841</v>
      </c>
      <c r="D33" s="1" t="s">
        <v>37</v>
      </c>
      <c r="E33" s="1"/>
      <c r="F33" s="1" t="s">
        <v>62</v>
      </c>
      <c r="G33" s="1" t="s">
        <v>87</v>
      </c>
      <c r="H33" s="1" t="s">
        <v>87</v>
      </c>
      <c r="I33" s="1" t="s">
        <v>87</v>
      </c>
      <c r="J33" s="1"/>
    </row>
    <row r="34" spans="1:10" ht="18" customHeight="1" x14ac:dyDescent="0.2">
      <c r="A34" s="26" t="s">
        <v>33</v>
      </c>
      <c r="B34" s="1">
        <v>1</v>
      </c>
      <c r="C34" s="1" t="s">
        <v>831</v>
      </c>
      <c r="D34" s="1" t="s">
        <v>182</v>
      </c>
      <c r="E34" s="1" t="s">
        <v>46</v>
      </c>
      <c r="F34" s="1" t="s">
        <v>63</v>
      </c>
      <c r="G34" s="1" t="s">
        <v>68</v>
      </c>
      <c r="H34" s="1" t="s">
        <v>74</v>
      </c>
      <c r="I34" s="1"/>
      <c r="J34" s="1"/>
    </row>
    <row r="35" spans="1:10" ht="18" customHeight="1" x14ac:dyDescent="0.2">
      <c r="A35" s="26"/>
      <c r="B35" s="1">
        <v>2</v>
      </c>
      <c r="C35" s="1" t="s">
        <v>832</v>
      </c>
      <c r="D35" s="1" t="s">
        <v>182</v>
      </c>
      <c r="E35" s="1" t="s">
        <v>46</v>
      </c>
      <c r="F35" s="1" t="s">
        <v>63</v>
      </c>
      <c r="G35" s="1" t="s">
        <v>69</v>
      </c>
      <c r="H35" s="1" t="s">
        <v>75</v>
      </c>
      <c r="I35" s="1"/>
      <c r="J35" s="1"/>
    </row>
    <row r="36" spans="1:10" ht="18" customHeight="1" x14ac:dyDescent="0.2">
      <c r="A36" s="26"/>
      <c r="B36" s="1">
        <v>3</v>
      </c>
      <c r="C36" s="1" t="s">
        <v>89</v>
      </c>
      <c r="D36" s="1"/>
      <c r="E36" s="1"/>
      <c r="F36" s="1" t="s">
        <v>63</v>
      </c>
      <c r="G36" s="1" t="s">
        <v>70</v>
      </c>
      <c r="H36" s="1" t="s">
        <v>100</v>
      </c>
      <c r="I36" s="1"/>
      <c r="J36" s="1"/>
    </row>
    <row r="37" spans="1:10" ht="18" customHeight="1" x14ac:dyDescent="0.2">
      <c r="A37" s="26"/>
      <c r="B37" s="1">
        <v>4</v>
      </c>
      <c r="C37" s="1" t="s">
        <v>89</v>
      </c>
      <c r="D37" s="1"/>
      <c r="E37" s="1"/>
      <c r="F37" s="1" t="s">
        <v>63</v>
      </c>
      <c r="G37" s="1" t="s">
        <v>71</v>
      </c>
      <c r="H37" s="1" t="s">
        <v>101</v>
      </c>
      <c r="I37" s="1"/>
      <c r="J37" s="1"/>
    </row>
    <row r="38" spans="1:10" ht="18" customHeight="1" x14ac:dyDescent="0.2">
      <c r="A38" s="26" t="s">
        <v>7</v>
      </c>
      <c r="B38" s="1">
        <v>1</v>
      </c>
      <c r="C38" s="1" t="s">
        <v>98</v>
      </c>
      <c r="D38" s="1" t="s">
        <v>32</v>
      </c>
      <c r="E38" s="1" t="s">
        <v>45</v>
      </c>
      <c r="F38" s="1" t="s">
        <v>64</v>
      </c>
      <c r="G38" s="1" t="s">
        <v>68</v>
      </c>
      <c r="H38" s="1" t="s">
        <v>76</v>
      </c>
      <c r="I38" s="1"/>
      <c r="J38" s="1"/>
    </row>
    <row r="39" spans="1:10" ht="18" customHeight="1" x14ac:dyDescent="0.2">
      <c r="A39" s="26"/>
      <c r="B39" s="1">
        <v>2</v>
      </c>
      <c r="C39" s="1" t="s">
        <v>21</v>
      </c>
      <c r="D39" s="1" t="s">
        <v>32</v>
      </c>
      <c r="E39" s="1" t="s">
        <v>45</v>
      </c>
      <c r="F39" s="1" t="s">
        <v>64</v>
      </c>
      <c r="G39" s="1" t="s">
        <v>69</v>
      </c>
      <c r="H39" s="1" t="s">
        <v>77</v>
      </c>
      <c r="I39" s="1"/>
      <c r="J39" s="1"/>
    </row>
    <row r="40" spans="1:10" ht="18" customHeight="1" x14ac:dyDescent="0.2">
      <c r="A40" s="26"/>
      <c r="B40" s="1">
        <v>3</v>
      </c>
      <c r="C40" s="1" t="s">
        <v>22</v>
      </c>
      <c r="D40" s="1" t="s">
        <v>32</v>
      </c>
      <c r="E40" s="1" t="s">
        <v>45</v>
      </c>
      <c r="F40" s="1" t="s">
        <v>64</v>
      </c>
      <c r="G40" s="1" t="s">
        <v>70</v>
      </c>
      <c r="H40" s="1" t="s">
        <v>78</v>
      </c>
      <c r="I40" s="1"/>
      <c r="J40" s="1"/>
    </row>
    <row r="41" spans="1:10" ht="18" customHeight="1" x14ac:dyDescent="0.2">
      <c r="A41" s="26"/>
      <c r="B41" s="1">
        <v>4</v>
      </c>
      <c r="C41" s="1" t="s">
        <v>23</v>
      </c>
      <c r="D41" s="1" t="s">
        <v>32</v>
      </c>
      <c r="E41" s="1" t="s">
        <v>45</v>
      </c>
      <c r="F41" s="1" t="s">
        <v>64</v>
      </c>
      <c r="G41" s="1" t="s">
        <v>71</v>
      </c>
      <c r="H41" s="1" t="s">
        <v>79</v>
      </c>
      <c r="I41" s="1"/>
      <c r="J41" s="1"/>
    </row>
    <row r="42" spans="1:10" ht="18" customHeight="1" x14ac:dyDescent="0.2">
      <c r="A42" s="26"/>
      <c r="B42" s="1">
        <v>5</v>
      </c>
      <c r="C42" s="1" t="s">
        <v>24</v>
      </c>
      <c r="D42" s="1" t="s">
        <v>32</v>
      </c>
      <c r="E42" s="1" t="s">
        <v>45</v>
      </c>
      <c r="F42" s="1" t="s">
        <v>65</v>
      </c>
      <c r="G42" s="1" t="s">
        <v>68</v>
      </c>
      <c r="H42" s="1" t="s">
        <v>76</v>
      </c>
      <c r="I42" s="1"/>
      <c r="J42" s="1"/>
    </row>
    <row r="43" spans="1:10" ht="18" customHeight="1" x14ac:dyDescent="0.2">
      <c r="A43" s="26"/>
      <c r="B43" s="1">
        <v>6</v>
      </c>
      <c r="C43" s="1" t="s">
        <v>25</v>
      </c>
      <c r="D43" s="1" t="s">
        <v>32</v>
      </c>
      <c r="E43" s="1" t="s">
        <v>45</v>
      </c>
      <c r="F43" s="1" t="s">
        <v>65</v>
      </c>
      <c r="G43" s="1" t="s">
        <v>69</v>
      </c>
      <c r="H43" s="1" t="s">
        <v>77</v>
      </c>
      <c r="I43" s="1"/>
      <c r="J43" s="1"/>
    </row>
    <row r="44" spans="1:10" ht="18" customHeight="1" x14ac:dyDescent="0.2">
      <c r="A44" s="26"/>
      <c r="B44" s="1">
        <v>7</v>
      </c>
      <c r="C44" s="1" t="s">
        <v>26</v>
      </c>
      <c r="D44" s="1" t="s">
        <v>32</v>
      </c>
      <c r="E44" s="1" t="s">
        <v>45</v>
      </c>
      <c r="F44" s="1" t="s">
        <v>65</v>
      </c>
      <c r="G44" s="1" t="s">
        <v>70</v>
      </c>
      <c r="H44" s="1" t="s">
        <v>78</v>
      </c>
      <c r="I44" s="1"/>
      <c r="J44" s="1"/>
    </row>
    <row r="45" spans="1:10" ht="18" customHeight="1" x14ac:dyDescent="0.2">
      <c r="A45" s="26"/>
      <c r="B45" s="1">
        <v>8</v>
      </c>
      <c r="C45" s="1" t="s">
        <v>27</v>
      </c>
      <c r="D45" s="1" t="s">
        <v>32</v>
      </c>
      <c r="E45" s="1" t="s">
        <v>45</v>
      </c>
      <c r="F45" s="1" t="s">
        <v>65</v>
      </c>
      <c r="G45" s="1" t="s">
        <v>71</v>
      </c>
      <c r="H45" s="1" t="s">
        <v>79</v>
      </c>
      <c r="I45" s="1"/>
      <c r="J45" s="1"/>
    </row>
    <row r="46" spans="1:10" ht="18" customHeight="1" x14ac:dyDescent="0.2">
      <c r="A46" s="26"/>
      <c r="B46" s="1">
        <v>9</v>
      </c>
      <c r="C46" s="1" t="s">
        <v>28</v>
      </c>
      <c r="D46" s="1" t="s">
        <v>32</v>
      </c>
      <c r="E46" s="1" t="s">
        <v>45</v>
      </c>
      <c r="F46" s="1" t="s">
        <v>66</v>
      </c>
      <c r="G46" s="1" t="s">
        <v>68</v>
      </c>
      <c r="H46" s="1" t="s">
        <v>76</v>
      </c>
      <c r="I46" s="1"/>
      <c r="J46" s="1"/>
    </row>
    <row r="47" spans="1:10" ht="18" customHeight="1" x14ac:dyDescent="0.2">
      <c r="A47" s="26"/>
      <c r="B47" s="1">
        <v>10</v>
      </c>
      <c r="C47" s="1" t="s">
        <v>38</v>
      </c>
      <c r="D47" s="1" t="s">
        <v>32</v>
      </c>
      <c r="E47" s="1" t="s">
        <v>45</v>
      </c>
      <c r="F47" s="1" t="s">
        <v>66</v>
      </c>
      <c r="G47" s="1" t="s">
        <v>69</v>
      </c>
      <c r="H47" s="1" t="s">
        <v>77</v>
      </c>
      <c r="I47" s="1"/>
      <c r="J47" s="1"/>
    </row>
    <row r="48" spans="1:10" ht="18" customHeight="1" x14ac:dyDescent="0.2">
      <c r="A48" s="26"/>
      <c r="B48" s="1">
        <v>11</v>
      </c>
      <c r="C48" s="1" t="s">
        <v>39</v>
      </c>
      <c r="D48" s="1" t="s">
        <v>32</v>
      </c>
      <c r="E48" s="1" t="s">
        <v>45</v>
      </c>
      <c r="F48" s="1" t="s">
        <v>66</v>
      </c>
      <c r="G48" s="1" t="s">
        <v>70</v>
      </c>
      <c r="H48" s="1" t="s">
        <v>78</v>
      </c>
      <c r="I48" s="1"/>
      <c r="J48" s="1"/>
    </row>
    <row r="49" spans="1:10" ht="18" customHeight="1" x14ac:dyDescent="0.2">
      <c r="A49" s="26"/>
      <c r="B49" s="1">
        <v>12</v>
      </c>
      <c r="C49" s="1" t="s">
        <v>40</v>
      </c>
      <c r="D49" s="1" t="s">
        <v>32</v>
      </c>
      <c r="E49" s="1" t="s">
        <v>45</v>
      </c>
      <c r="F49" s="1" t="s">
        <v>66</v>
      </c>
      <c r="G49" s="1" t="s">
        <v>71</v>
      </c>
      <c r="H49" s="1" t="s">
        <v>79</v>
      </c>
      <c r="I49" s="1"/>
      <c r="J49" s="1"/>
    </row>
    <row r="50" spans="1:10" ht="18" customHeight="1" x14ac:dyDescent="0.2">
      <c r="A50" s="26"/>
      <c r="B50" s="1">
        <v>13</v>
      </c>
      <c r="C50" s="1" t="s">
        <v>827</v>
      </c>
      <c r="D50" s="1" t="s">
        <v>31</v>
      </c>
      <c r="E50" s="1" t="s">
        <v>46</v>
      </c>
      <c r="F50" s="1" t="s">
        <v>67</v>
      </c>
      <c r="G50" s="1" t="s">
        <v>68</v>
      </c>
      <c r="H50" s="1" t="s">
        <v>80</v>
      </c>
      <c r="I50" s="1"/>
      <c r="J50" s="1"/>
    </row>
    <row r="51" spans="1:10" ht="18" customHeight="1" x14ac:dyDescent="0.2">
      <c r="A51" s="26"/>
      <c r="B51" s="1">
        <v>14</v>
      </c>
      <c r="C51" s="1" t="s">
        <v>828</v>
      </c>
      <c r="D51" s="1" t="s">
        <v>31</v>
      </c>
      <c r="E51" s="1" t="s">
        <v>46</v>
      </c>
      <c r="F51" s="1" t="s">
        <v>67</v>
      </c>
      <c r="G51" s="1" t="s">
        <v>69</v>
      </c>
      <c r="H51" s="1" t="s">
        <v>81</v>
      </c>
      <c r="I51" s="1"/>
      <c r="J51" s="1"/>
    </row>
    <row r="52" spans="1:10" ht="18" customHeight="1" x14ac:dyDescent="0.2">
      <c r="A52" s="26"/>
      <c r="B52" s="1">
        <v>15</v>
      </c>
      <c r="C52" s="1" t="s">
        <v>829</v>
      </c>
      <c r="D52" s="1" t="s">
        <v>30</v>
      </c>
      <c r="E52" s="1" t="s">
        <v>46</v>
      </c>
      <c r="F52" s="1" t="s">
        <v>67</v>
      </c>
      <c r="G52" s="1" t="s">
        <v>70</v>
      </c>
      <c r="H52" s="1" t="s">
        <v>82</v>
      </c>
      <c r="I52" s="1"/>
      <c r="J52" s="1"/>
    </row>
    <row r="53" spans="1:10" ht="18" customHeight="1" x14ac:dyDescent="0.2">
      <c r="A53" s="26"/>
      <c r="B53" s="1">
        <v>16</v>
      </c>
      <c r="C53" s="1" t="s">
        <v>830</v>
      </c>
      <c r="D53" s="1" t="s">
        <v>30</v>
      </c>
      <c r="E53" s="1" t="s">
        <v>46</v>
      </c>
      <c r="F53" s="1" t="s">
        <v>67</v>
      </c>
      <c r="G53" s="1" t="s">
        <v>71</v>
      </c>
      <c r="H53" s="1" t="s">
        <v>83</v>
      </c>
      <c r="I53" s="1"/>
      <c r="J53" s="1"/>
    </row>
  </sheetData>
  <mergeCells count="7">
    <mergeCell ref="A38:A53"/>
    <mergeCell ref="C22:C23"/>
    <mergeCell ref="C24:C25"/>
    <mergeCell ref="C26:C27"/>
    <mergeCell ref="A2:A17"/>
    <mergeCell ref="A18:A33"/>
    <mergeCell ref="A34:A37"/>
  </mergeCells>
  <phoneticPr fontId="1" type="noConversion"/>
  <printOptions horizontalCentered="1"/>
  <pageMargins left="0.51181102362204722" right="0.51181102362204722" top="0.55118110236220474" bottom="0.55118110236220474" header="0.31496062992125984" footer="0.31496062992125984"/>
  <pageSetup paperSize="9" orientation="portrait" r:id="rId1"/>
  <rowBreaks count="1" manualBreakCount="1">
    <brk id="33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D673C-D264-48A6-9347-09AE23407840}">
  <dimension ref="A1:G107"/>
  <sheetViews>
    <sheetView topLeftCell="A29" zoomScale="115" zoomScaleNormal="115" workbookViewId="0">
      <selection activeCell="D5" sqref="D5"/>
    </sheetView>
  </sheetViews>
  <sheetFormatPr defaultRowHeight="20.100000000000001" customHeight="1" x14ac:dyDescent="0.2"/>
  <cols>
    <col min="1" max="1" width="9.75" style="8" bestFit="1" customWidth="1"/>
    <col min="2" max="2" width="4.5" style="8" bestFit="1" customWidth="1"/>
    <col min="3" max="3" width="4.875" style="7" customWidth="1"/>
    <col min="4" max="4" width="15.875" style="7" bestFit="1" customWidth="1"/>
    <col min="5" max="6" width="7.5" style="7" bestFit="1" customWidth="1"/>
    <col min="7" max="9" width="9" style="7"/>
    <col min="10" max="10" width="14.75" style="7" bestFit="1" customWidth="1"/>
    <col min="11" max="16384" width="9" style="7"/>
  </cols>
  <sheetData>
    <row r="1" spans="1:7" ht="20.100000000000001" customHeight="1" x14ac:dyDescent="0.2">
      <c r="A1" s="29" t="s">
        <v>777</v>
      </c>
      <c r="B1" s="29"/>
      <c r="C1" s="29"/>
      <c r="D1" s="29"/>
      <c r="E1" s="29"/>
      <c r="F1" s="29"/>
    </row>
    <row r="2" spans="1:7" s="10" customFormat="1" ht="21" x14ac:dyDescent="0.2">
      <c r="A2" s="5" t="s">
        <v>0</v>
      </c>
      <c r="B2" s="5" t="s">
        <v>1</v>
      </c>
      <c r="C2" s="9" t="s">
        <v>48</v>
      </c>
      <c r="D2" s="9" t="s">
        <v>18</v>
      </c>
      <c r="E2" s="5" t="s">
        <v>333</v>
      </c>
      <c r="F2" s="9" t="s">
        <v>334</v>
      </c>
    </row>
    <row r="3" spans="1:7" ht="20.100000000000001" customHeight="1" x14ac:dyDescent="0.2">
      <c r="A3" s="30" t="s">
        <v>154</v>
      </c>
      <c r="B3" s="2">
        <v>0</v>
      </c>
      <c r="C3" s="1" t="s">
        <v>588</v>
      </c>
      <c r="D3" s="1" t="s">
        <v>1072</v>
      </c>
      <c r="E3" s="1"/>
      <c r="F3" s="1"/>
      <c r="G3" s="8"/>
    </row>
    <row r="4" spans="1:7" ht="20.100000000000001" customHeight="1" x14ac:dyDescent="0.2">
      <c r="A4" s="30"/>
      <c r="B4" s="2">
        <v>1</v>
      </c>
      <c r="C4" s="1" t="s">
        <v>589</v>
      </c>
      <c r="D4" s="1" t="s">
        <v>1073</v>
      </c>
      <c r="E4" s="1"/>
      <c r="F4" s="1"/>
      <c r="G4" s="8"/>
    </row>
    <row r="5" spans="1:7" ht="20.100000000000001" customHeight="1" x14ac:dyDescent="0.2">
      <c r="A5" s="30"/>
      <c r="B5" s="2">
        <v>2</v>
      </c>
      <c r="C5" s="1" t="s">
        <v>590</v>
      </c>
      <c r="D5" s="1" t="s">
        <v>1074</v>
      </c>
      <c r="E5" s="1"/>
      <c r="F5" s="1"/>
      <c r="G5" s="8"/>
    </row>
    <row r="6" spans="1:7" ht="20.100000000000001" customHeight="1" x14ac:dyDescent="0.2">
      <c r="A6" s="30"/>
      <c r="B6" s="2">
        <v>3</v>
      </c>
      <c r="C6" s="1" t="s">
        <v>591</v>
      </c>
      <c r="D6" s="1" t="s">
        <v>1075</v>
      </c>
      <c r="E6" s="1"/>
      <c r="F6" s="1"/>
      <c r="G6" s="8"/>
    </row>
    <row r="7" spans="1:7" ht="20.100000000000001" customHeight="1" x14ac:dyDescent="0.2">
      <c r="A7" s="30"/>
      <c r="B7" s="2">
        <v>4</v>
      </c>
      <c r="C7" s="1" t="s">
        <v>592</v>
      </c>
      <c r="D7" s="1" t="s">
        <v>155</v>
      </c>
      <c r="E7" s="1"/>
      <c r="F7" s="1"/>
      <c r="G7" s="8"/>
    </row>
    <row r="8" spans="1:7" ht="20.100000000000001" customHeight="1" x14ac:dyDescent="0.2">
      <c r="A8" s="30"/>
      <c r="B8" s="2">
        <v>5</v>
      </c>
      <c r="C8" s="1" t="s">
        <v>593</v>
      </c>
      <c r="D8" s="1" t="s">
        <v>163</v>
      </c>
      <c r="E8" s="1"/>
      <c r="F8" s="1"/>
    </row>
    <row r="9" spans="1:7" ht="20.100000000000001" customHeight="1" x14ac:dyDescent="0.2">
      <c r="A9" s="30"/>
      <c r="B9" s="2">
        <v>6</v>
      </c>
      <c r="C9" s="1" t="s">
        <v>594</v>
      </c>
      <c r="D9" s="1" t="s">
        <v>165</v>
      </c>
      <c r="E9" s="1"/>
      <c r="F9" s="1"/>
    </row>
    <row r="10" spans="1:7" ht="20.100000000000001" customHeight="1" x14ac:dyDescent="0.2">
      <c r="A10" s="30"/>
      <c r="B10" s="2">
        <v>7</v>
      </c>
      <c r="C10" s="1" t="s">
        <v>595</v>
      </c>
      <c r="D10" s="1" t="s">
        <v>164</v>
      </c>
      <c r="E10" s="1"/>
      <c r="F10" s="1"/>
    </row>
    <row r="11" spans="1:7" ht="20.100000000000001" customHeight="1" x14ac:dyDescent="0.2">
      <c r="A11" s="30"/>
      <c r="B11" s="2">
        <v>8</v>
      </c>
      <c r="C11" s="1" t="s">
        <v>596</v>
      </c>
      <c r="D11" s="1" t="s">
        <v>586</v>
      </c>
      <c r="E11" s="1"/>
      <c r="F11" s="1"/>
    </row>
    <row r="12" spans="1:7" ht="20.100000000000001" customHeight="1" x14ac:dyDescent="0.2">
      <c r="A12" s="30"/>
      <c r="B12" s="2">
        <v>9</v>
      </c>
      <c r="C12" s="1" t="s">
        <v>597</v>
      </c>
      <c r="D12" s="1" t="s">
        <v>587</v>
      </c>
      <c r="E12" s="1"/>
      <c r="F12" s="1"/>
    </row>
    <row r="13" spans="1:7" ht="20.100000000000001" customHeight="1" x14ac:dyDescent="0.2">
      <c r="A13" s="30"/>
      <c r="B13" s="2">
        <v>10</v>
      </c>
      <c r="C13" s="1" t="s">
        <v>598</v>
      </c>
      <c r="D13" s="1" t="s">
        <v>166</v>
      </c>
      <c r="E13" s="1"/>
      <c r="F13" s="1"/>
    </row>
    <row r="14" spans="1:7" ht="20.100000000000001" customHeight="1" x14ac:dyDescent="0.2">
      <c r="A14" s="30"/>
      <c r="B14" s="2">
        <v>11</v>
      </c>
      <c r="C14" s="1" t="s">
        <v>599</v>
      </c>
      <c r="D14" s="1" t="s">
        <v>162</v>
      </c>
      <c r="E14" s="1"/>
      <c r="F14" s="1"/>
      <c r="G14" s="8"/>
    </row>
    <row r="15" spans="1:7" ht="20.100000000000001" customHeight="1" x14ac:dyDescent="0.2">
      <c r="A15" s="30"/>
      <c r="B15" s="2">
        <v>12</v>
      </c>
      <c r="C15" s="1" t="s">
        <v>600</v>
      </c>
      <c r="D15" s="1" t="s">
        <v>156</v>
      </c>
      <c r="E15" s="1"/>
      <c r="F15" s="1"/>
      <c r="G15" s="8"/>
    </row>
    <row r="16" spans="1:7" ht="20.100000000000001" customHeight="1" x14ac:dyDescent="0.2">
      <c r="A16" s="30"/>
      <c r="B16" s="2">
        <v>13</v>
      </c>
      <c r="C16" s="1" t="s">
        <v>601</v>
      </c>
      <c r="D16" s="1" t="s">
        <v>157</v>
      </c>
      <c r="E16" s="1"/>
      <c r="F16" s="1"/>
      <c r="G16" s="8"/>
    </row>
    <row r="17" spans="1:7" ht="20.100000000000001" customHeight="1" x14ac:dyDescent="0.2">
      <c r="A17" s="30"/>
      <c r="B17" s="2">
        <v>14</v>
      </c>
      <c r="C17" s="1" t="s">
        <v>602</v>
      </c>
      <c r="D17" s="1" t="s">
        <v>158</v>
      </c>
      <c r="E17" s="1"/>
      <c r="F17" s="1"/>
      <c r="G17" s="8"/>
    </row>
    <row r="18" spans="1:7" ht="20.100000000000001" customHeight="1" x14ac:dyDescent="0.2">
      <c r="A18" s="30"/>
      <c r="B18" s="2">
        <v>15</v>
      </c>
      <c r="C18" s="1" t="s">
        <v>603</v>
      </c>
      <c r="D18" s="1" t="s">
        <v>159</v>
      </c>
      <c r="E18" s="1"/>
      <c r="F18" s="1"/>
      <c r="G18" s="8"/>
    </row>
    <row r="19" spans="1:7" ht="20.100000000000001" customHeight="1" x14ac:dyDescent="0.2">
      <c r="A19" s="30"/>
      <c r="B19" s="2">
        <v>16</v>
      </c>
      <c r="C19" s="1" t="s">
        <v>604</v>
      </c>
      <c r="D19" s="1" t="s">
        <v>160</v>
      </c>
      <c r="E19" s="1"/>
      <c r="F19" s="1"/>
      <c r="G19" s="8"/>
    </row>
    <row r="20" spans="1:7" ht="20.100000000000001" customHeight="1" x14ac:dyDescent="0.2">
      <c r="A20" s="30"/>
      <c r="B20" s="2">
        <v>17</v>
      </c>
      <c r="C20" s="1" t="s">
        <v>605</v>
      </c>
      <c r="D20" s="1" t="s">
        <v>161</v>
      </c>
      <c r="E20" s="1"/>
      <c r="F20" s="1"/>
      <c r="G20" s="8"/>
    </row>
    <row r="21" spans="1:7" ht="20.100000000000001" customHeight="1" x14ac:dyDescent="0.2">
      <c r="A21" s="30"/>
      <c r="B21" s="2">
        <v>18</v>
      </c>
      <c r="C21" s="1" t="s">
        <v>606</v>
      </c>
      <c r="D21" s="1" t="s">
        <v>505</v>
      </c>
      <c r="E21" s="1"/>
      <c r="F21" s="1"/>
    </row>
    <row r="22" spans="1:7" ht="20.100000000000001" customHeight="1" x14ac:dyDescent="0.2">
      <c r="A22" s="30"/>
      <c r="B22" s="2">
        <v>19</v>
      </c>
      <c r="C22" s="1" t="s">
        <v>607</v>
      </c>
      <c r="D22" s="1" t="s">
        <v>506</v>
      </c>
      <c r="E22" s="1"/>
      <c r="F22" s="1"/>
    </row>
    <row r="23" spans="1:7" ht="20.100000000000001" customHeight="1" x14ac:dyDescent="0.2">
      <c r="A23" s="30"/>
      <c r="B23" s="2">
        <v>20</v>
      </c>
      <c r="C23" s="1" t="s">
        <v>608</v>
      </c>
      <c r="D23" s="1" t="s">
        <v>507</v>
      </c>
      <c r="E23" s="1"/>
      <c r="F23" s="1"/>
      <c r="G23" s="8"/>
    </row>
    <row r="24" spans="1:7" ht="20.100000000000001" customHeight="1" x14ac:dyDescent="0.2">
      <c r="A24" s="30"/>
      <c r="B24" s="2">
        <v>21</v>
      </c>
      <c r="C24" s="1" t="s">
        <v>609</v>
      </c>
      <c r="E24" s="1"/>
      <c r="F24" s="1"/>
      <c r="G24" s="8"/>
    </row>
    <row r="25" spans="1:7" ht="20.100000000000001" customHeight="1" x14ac:dyDescent="0.2">
      <c r="A25" s="30"/>
      <c r="B25" s="2">
        <v>22</v>
      </c>
      <c r="C25" s="1" t="s">
        <v>610</v>
      </c>
      <c r="E25" s="1"/>
      <c r="F25" s="1"/>
      <c r="G25" s="8"/>
    </row>
    <row r="26" spans="1:7" ht="20.100000000000001" customHeight="1" x14ac:dyDescent="0.2">
      <c r="A26" s="30"/>
      <c r="B26" s="2">
        <v>23</v>
      </c>
      <c r="C26" s="1" t="s">
        <v>611</v>
      </c>
      <c r="E26" s="1"/>
      <c r="F26" s="1"/>
      <c r="G26" s="8"/>
    </row>
    <row r="27" spans="1:7" ht="20.100000000000001" customHeight="1" x14ac:dyDescent="0.2">
      <c r="A27" s="30"/>
      <c r="B27" s="2">
        <v>24</v>
      </c>
      <c r="C27" s="1" t="s">
        <v>612</v>
      </c>
      <c r="D27" s="1"/>
      <c r="E27" s="1"/>
      <c r="F27" s="1"/>
      <c r="G27" s="8"/>
    </row>
    <row r="28" spans="1:7" ht="20.100000000000001" customHeight="1" x14ac:dyDescent="0.2">
      <c r="A28" s="30"/>
      <c r="B28" s="2">
        <v>25</v>
      </c>
      <c r="C28" s="1" t="s">
        <v>613</v>
      </c>
      <c r="E28" s="1"/>
      <c r="F28" s="1"/>
      <c r="G28" s="8"/>
    </row>
    <row r="29" spans="1:7" ht="20.100000000000001" customHeight="1" x14ac:dyDescent="0.2">
      <c r="A29" s="30"/>
      <c r="B29" s="2">
        <v>26</v>
      </c>
      <c r="C29" s="1" t="s">
        <v>614</v>
      </c>
      <c r="E29" s="1"/>
      <c r="F29" s="1"/>
      <c r="G29" s="8"/>
    </row>
    <row r="30" spans="1:7" ht="20.100000000000001" customHeight="1" x14ac:dyDescent="0.2">
      <c r="A30" s="30"/>
      <c r="B30" s="2">
        <v>27</v>
      </c>
      <c r="C30" s="1" t="s">
        <v>615</v>
      </c>
      <c r="D30" s="1"/>
      <c r="E30" s="1"/>
      <c r="F30" s="1"/>
      <c r="G30" s="8"/>
    </row>
    <row r="31" spans="1:7" ht="20.100000000000001" customHeight="1" x14ac:dyDescent="0.2">
      <c r="A31" s="30"/>
      <c r="B31" s="2">
        <v>28</v>
      </c>
      <c r="C31" s="1" t="s">
        <v>616</v>
      </c>
      <c r="D31" s="1"/>
      <c r="E31" s="1"/>
      <c r="F31" s="1"/>
      <c r="G31" s="8"/>
    </row>
    <row r="32" spans="1:7" ht="20.100000000000001" customHeight="1" x14ac:dyDescent="0.2">
      <c r="A32" s="30"/>
      <c r="B32" s="2">
        <v>29</v>
      </c>
      <c r="C32" s="1" t="s">
        <v>617</v>
      </c>
      <c r="E32" s="1"/>
      <c r="F32" s="1"/>
      <c r="G32" s="8"/>
    </row>
    <row r="33" spans="1:7" ht="20.100000000000001" customHeight="1" x14ac:dyDescent="0.2">
      <c r="A33" s="30"/>
      <c r="B33" s="2">
        <v>30</v>
      </c>
      <c r="C33" s="1" t="s">
        <v>618</v>
      </c>
      <c r="D33" s="1" t="s">
        <v>339</v>
      </c>
      <c r="E33" s="1"/>
      <c r="F33" s="1"/>
      <c r="G33" s="8"/>
    </row>
    <row r="34" spans="1:7" ht="20.100000000000001" customHeight="1" x14ac:dyDescent="0.2">
      <c r="A34" s="30"/>
      <c r="B34" s="2">
        <v>31</v>
      </c>
      <c r="C34" s="1" t="s">
        <v>619</v>
      </c>
      <c r="D34" s="1" t="s">
        <v>364</v>
      </c>
      <c r="E34" s="1"/>
      <c r="F34" s="1"/>
      <c r="G34" s="8"/>
    </row>
    <row r="35" spans="1:7" ht="20.100000000000001" customHeight="1" x14ac:dyDescent="0.2">
      <c r="A35" s="31" t="s">
        <v>639</v>
      </c>
      <c r="B35" s="2">
        <v>0</v>
      </c>
      <c r="C35" s="1" t="s">
        <v>624</v>
      </c>
      <c r="D35" s="1" t="s">
        <v>620</v>
      </c>
      <c r="E35" s="1"/>
      <c r="F35" s="1"/>
      <c r="G35" s="8"/>
    </row>
    <row r="36" spans="1:7" ht="20.100000000000001" customHeight="1" x14ac:dyDescent="0.2">
      <c r="A36" s="32"/>
      <c r="B36" s="2">
        <v>1</v>
      </c>
      <c r="C36" s="1" t="s">
        <v>625</v>
      </c>
      <c r="D36" s="1" t="s">
        <v>621</v>
      </c>
      <c r="E36" s="1"/>
      <c r="F36" s="1"/>
      <c r="G36" s="8"/>
    </row>
    <row r="37" spans="1:7" ht="20.100000000000001" customHeight="1" x14ac:dyDescent="0.2">
      <c r="A37" s="32"/>
      <c r="B37" s="2">
        <v>2</v>
      </c>
      <c r="C37" s="1" t="s">
        <v>626</v>
      </c>
      <c r="D37" s="1" t="s">
        <v>622</v>
      </c>
      <c r="E37" s="1"/>
      <c r="F37" s="1"/>
      <c r="G37" s="8"/>
    </row>
    <row r="38" spans="1:7" ht="20.100000000000001" customHeight="1" x14ac:dyDescent="0.2">
      <c r="A38" s="32"/>
      <c r="B38" s="2">
        <v>3</v>
      </c>
      <c r="C38" s="1" t="s">
        <v>627</v>
      </c>
      <c r="D38" s="1" t="s">
        <v>623</v>
      </c>
      <c r="E38" s="1"/>
      <c r="F38" s="1"/>
      <c r="G38" s="8"/>
    </row>
    <row r="39" spans="1:7" ht="20.100000000000001" customHeight="1" x14ac:dyDescent="0.2">
      <c r="A39" s="32"/>
      <c r="B39" s="2">
        <v>4</v>
      </c>
      <c r="C39" s="1" t="s">
        <v>628</v>
      </c>
      <c r="D39" s="1" t="s">
        <v>736</v>
      </c>
      <c r="E39" s="1"/>
      <c r="F39" s="1"/>
      <c r="G39" s="8"/>
    </row>
    <row r="40" spans="1:7" ht="20.100000000000001" customHeight="1" x14ac:dyDescent="0.2">
      <c r="A40" s="32"/>
      <c r="B40" s="2">
        <v>5</v>
      </c>
      <c r="C40" s="1" t="s">
        <v>629</v>
      </c>
      <c r="D40" s="1" t="s">
        <v>741</v>
      </c>
      <c r="E40" s="1"/>
      <c r="F40" s="1"/>
      <c r="G40" s="8"/>
    </row>
    <row r="41" spans="1:7" ht="20.100000000000001" customHeight="1" x14ac:dyDescent="0.2">
      <c r="A41" s="32"/>
      <c r="B41" s="2">
        <v>6</v>
      </c>
      <c r="C41" s="1" t="s">
        <v>630</v>
      </c>
      <c r="D41" s="1" t="s">
        <v>742</v>
      </c>
      <c r="E41" s="1"/>
      <c r="F41" s="1"/>
      <c r="G41" s="8"/>
    </row>
    <row r="42" spans="1:7" ht="20.100000000000001" customHeight="1" x14ac:dyDescent="0.2">
      <c r="A42" s="32"/>
      <c r="B42" s="2">
        <v>7</v>
      </c>
      <c r="C42" s="1" t="s">
        <v>631</v>
      </c>
      <c r="D42" s="2" t="s">
        <v>743</v>
      </c>
      <c r="E42" s="1"/>
      <c r="F42" s="1"/>
      <c r="G42" s="8"/>
    </row>
    <row r="43" spans="1:7" ht="20.100000000000001" customHeight="1" x14ac:dyDescent="0.2">
      <c r="A43" s="32"/>
      <c r="B43" s="2">
        <v>8</v>
      </c>
      <c r="C43" s="1" t="s">
        <v>632</v>
      </c>
      <c r="D43" s="2" t="s">
        <v>744</v>
      </c>
      <c r="E43" s="1"/>
      <c r="F43" s="1"/>
      <c r="G43" s="8"/>
    </row>
    <row r="44" spans="1:7" ht="20.100000000000001" customHeight="1" x14ac:dyDescent="0.2">
      <c r="A44" s="32"/>
      <c r="B44" s="2">
        <v>9</v>
      </c>
      <c r="C44" s="1" t="s">
        <v>633</v>
      </c>
      <c r="D44" s="2" t="s">
        <v>745</v>
      </c>
      <c r="E44" s="1"/>
      <c r="F44" s="1"/>
      <c r="G44" s="8"/>
    </row>
    <row r="45" spans="1:7" ht="20.100000000000001" customHeight="1" x14ac:dyDescent="0.2">
      <c r="A45" s="32"/>
      <c r="B45" s="2">
        <v>10</v>
      </c>
      <c r="C45" s="1" t="s">
        <v>634</v>
      </c>
      <c r="D45" s="2" t="s">
        <v>746</v>
      </c>
      <c r="E45" s="1"/>
      <c r="F45" s="1"/>
      <c r="G45" s="8"/>
    </row>
    <row r="46" spans="1:7" ht="20.100000000000001" customHeight="1" x14ac:dyDescent="0.2">
      <c r="A46" s="32"/>
      <c r="B46" s="2">
        <v>11</v>
      </c>
      <c r="C46" s="1" t="s">
        <v>635</v>
      </c>
      <c r="D46" s="2" t="s">
        <v>737</v>
      </c>
      <c r="E46" s="1"/>
      <c r="F46" s="1"/>
      <c r="G46" s="8"/>
    </row>
    <row r="47" spans="1:7" ht="20.100000000000001" customHeight="1" x14ac:dyDescent="0.2">
      <c r="A47" s="32"/>
      <c r="B47" s="2">
        <v>12</v>
      </c>
      <c r="C47" s="1" t="s">
        <v>636</v>
      </c>
      <c r="D47" s="2" t="s">
        <v>738</v>
      </c>
      <c r="E47" s="1"/>
      <c r="F47" s="1"/>
      <c r="G47" s="8"/>
    </row>
    <row r="48" spans="1:7" ht="20.100000000000001" customHeight="1" x14ac:dyDescent="0.2">
      <c r="A48" s="32"/>
      <c r="B48" s="2">
        <v>13</v>
      </c>
      <c r="C48" s="1" t="s">
        <v>637</v>
      </c>
      <c r="D48" s="2" t="s">
        <v>739</v>
      </c>
      <c r="E48" s="1"/>
      <c r="F48" s="1"/>
      <c r="G48" s="8"/>
    </row>
    <row r="49" spans="1:7" ht="20.100000000000001" customHeight="1" x14ac:dyDescent="0.2">
      <c r="A49" s="33"/>
      <c r="B49" s="2">
        <v>14</v>
      </c>
      <c r="C49" s="1" t="s">
        <v>638</v>
      </c>
      <c r="D49" s="2" t="s">
        <v>740</v>
      </c>
      <c r="E49" s="1"/>
      <c r="F49" s="1"/>
      <c r="G49" s="8"/>
    </row>
    <row r="50" spans="1:7" ht="20.100000000000001" customHeight="1" x14ac:dyDescent="0.2">
      <c r="A50" s="30" t="s">
        <v>878</v>
      </c>
      <c r="B50" s="2">
        <v>0</v>
      </c>
      <c r="C50" s="1" t="s">
        <v>118</v>
      </c>
      <c r="D50" s="1" t="s">
        <v>887</v>
      </c>
      <c r="E50" s="1" t="s">
        <v>335</v>
      </c>
      <c r="F50" s="1" t="s">
        <v>335</v>
      </c>
    </row>
    <row r="51" spans="1:7" ht="20.100000000000001" customHeight="1" x14ac:dyDescent="0.2">
      <c r="A51" s="30"/>
      <c r="B51" s="2">
        <v>1</v>
      </c>
      <c r="C51" s="1" t="s">
        <v>119</v>
      </c>
      <c r="D51" s="1" t="s">
        <v>888</v>
      </c>
      <c r="E51" s="1" t="s">
        <v>335</v>
      </c>
      <c r="F51" s="1" t="s">
        <v>335</v>
      </c>
    </row>
    <row r="52" spans="1:7" ht="20.100000000000001" customHeight="1" x14ac:dyDescent="0.2">
      <c r="A52" s="30"/>
      <c r="B52" s="2">
        <v>2</v>
      </c>
      <c r="C52" s="1" t="s">
        <v>120</v>
      </c>
      <c r="D52" s="1" t="s">
        <v>889</v>
      </c>
      <c r="E52" s="1" t="s">
        <v>335</v>
      </c>
      <c r="F52" s="1" t="s">
        <v>335</v>
      </c>
    </row>
    <row r="53" spans="1:7" ht="20.100000000000001" customHeight="1" x14ac:dyDescent="0.2">
      <c r="A53" s="30"/>
      <c r="B53" s="2">
        <v>3</v>
      </c>
      <c r="C53" s="1" t="s">
        <v>121</v>
      </c>
      <c r="D53" s="1" t="s">
        <v>890</v>
      </c>
      <c r="E53" s="1" t="s">
        <v>335</v>
      </c>
      <c r="F53" s="1" t="s">
        <v>335</v>
      </c>
    </row>
    <row r="54" spans="1:7" ht="20.100000000000001" customHeight="1" x14ac:dyDescent="0.2">
      <c r="A54" s="30"/>
      <c r="B54" s="2">
        <v>4</v>
      </c>
      <c r="C54" s="1" t="s">
        <v>122</v>
      </c>
      <c r="D54" s="1" t="s">
        <v>891</v>
      </c>
      <c r="E54" s="1" t="s">
        <v>335</v>
      </c>
      <c r="F54" s="1" t="s">
        <v>335</v>
      </c>
    </row>
    <row r="55" spans="1:7" ht="20.100000000000001" customHeight="1" x14ac:dyDescent="0.2">
      <c r="A55" s="30"/>
      <c r="B55" s="2">
        <v>5</v>
      </c>
      <c r="C55" s="1" t="s">
        <v>123</v>
      </c>
      <c r="D55" s="1" t="s">
        <v>892</v>
      </c>
      <c r="E55" s="1" t="s">
        <v>335</v>
      </c>
      <c r="F55" s="1" t="s">
        <v>335</v>
      </c>
    </row>
    <row r="56" spans="1:7" ht="20.100000000000001" customHeight="1" x14ac:dyDescent="0.2">
      <c r="A56" s="30"/>
      <c r="B56" s="2">
        <v>6</v>
      </c>
      <c r="C56" s="1" t="s">
        <v>124</v>
      </c>
      <c r="D56" s="1" t="s">
        <v>893</v>
      </c>
      <c r="E56" s="1" t="s">
        <v>335</v>
      </c>
      <c r="F56" s="1" t="s">
        <v>335</v>
      </c>
    </row>
    <row r="57" spans="1:7" ht="20.100000000000001" customHeight="1" x14ac:dyDescent="0.2">
      <c r="A57" s="30"/>
      <c r="B57" s="2">
        <v>7</v>
      </c>
      <c r="C57" s="1" t="s">
        <v>125</v>
      </c>
      <c r="D57" s="1" t="s">
        <v>894</v>
      </c>
      <c r="E57" s="1" t="s">
        <v>335</v>
      </c>
      <c r="F57" s="1" t="s">
        <v>335</v>
      </c>
    </row>
    <row r="58" spans="1:7" ht="20.100000000000001" customHeight="1" x14ac:dyDescent="0.2">
      <c r="A58" s="30"/>
      <c r="B58" s="2">
        <v>8</v>
      </c>
      <c r="C58" s="1" t="s">
        <v>126</v>
      </c>
      <c r="D58" s="1" t="s">
        <v>895</v>
      </c>
      <c r="E58" s="1" t="s">
        <v>335</v>
      </c>
      <c r="F58" s="1" t="s">
        <v>335</v>
      </c>
    </row>
    <row r="59" spans="1:7" ht="20.100000000000001" customHeight="1" x14ac:dyDescent="0.2">
      <c r="A59" s="30"/>
      <c r="B59" s="2">
        <v>9</v>
      </c>
      <c r="C59" s="1" t="s">
        <v>127</v>
      </c>
      <c r="D59" s="1" t="s">
        <v>896</v>
      </c>
      <c r="E59" s="1" t="s">
        <v>335</v>
      </c>
      <c r="F59" s="1" t="s">
        <v>335</v>
      </c>
    </row>
    <row r="60" spans="1:7" ht="20.100000000000001" customHeight="1" x14ac:dyDescent="0.2">
      <c r="A60" s="30"/>
      <c r="B60" s="2">
        <v>10</v>
      </c>
      <c r="C60" s="1" t="s">
        <v>128</v>
      </c>
      <c r="D60" s="1" t="s">
        <v>879</v>
      </c>
      <c r="E60" s="1" t="s">
        <v>335</v>
      </c>
      <c r="F60" s="1" t="s">
        <v>335</v>
      </c>
    </row>
    <row r="61" spans="1:7" ht="20.100000000000001" customHeight="1" x14ac:dyDescent="0.2">
      <c r="A61" s="30"/>
      <c r="B61" s="2">
        <v>11</v>
      </c>
      <c r="C61" s="1" t="s">
        <v>129</v>
      </c>
      <c r="D61" s="1" t="s">
        <v>880</v>
      </c>
      <c r="E61" s="1" t="s">
        <v>335</v>
      </c>
      <c r="F61" s="1" t="s">
        <v>335</v>
      </c>
    </row>
    <row r="62" spans="1:7" ht="20.100000000000001" customHeight="1" x14ac:dyDescent="0.2">
      <c r="A62" s="30"/>
      <c r="B62" s="2">
        <v>12</v>
      </c>
      <c r="C62" s="1" t="s">
        <v>130</v>
      </c>
      <c r="D62" s="1" t="s">
        <v>881</v>
      </c>
      <c r="E62" s="1" t="s">
        <v>335</v>
      </c>
      <c r="F62" s="1" t="s">
        <v>335</v>
      </c>
    </row>
    <row r="63" spans="1:7" ht="20.100000000000001" customHeight="1" x14ac:dyDescent="0.2">
      <c r="A63" s="30"/>
      <c r="B63" s="2">
        <v>13</v>
      </c>
      <c r="C63" s="1" t="s">
        <v>131</v>
      </c>
      <c r="D63" s="1" t="s">
        <v>882</v>
      </c>
      <c r="E63" s="1" t="s">
        <v>335</v>
      </c>
      <c r="F63" s="1" t="s">
        <v>335</v>
      </c>
    </row>
    <row r="64" spans="1:7" ht="20.100000000000001" customHeight="1" x14ac:dyDescent="0.2">
      <c r="A64" s="30"/>
      <c r="B64" s="2">
        <v>14</v>
      </c>
      <c r="C64" s="1" t="s">
        <v>132</v>
      </c>
      <c r="D64" s="1" t="s">
        <v>883</v>
      </c>
      <c r="E64" s="1" t="s">
        <v>335</v>
      </c>
      <c r="F64" s="1" t="s">
        <v>335</v>
      </c>
    </row>
    <row r="65" spans="1:6" ht="20.100000000000001" customHeight="1" x14ac:dyDescent="0.2">
      <c r="A65" s="30"/>
      <c r="B65" s="2">
        <v>15</v>
      </c>
      <c r="C65" s="1" t="s">
        <v>133</v>
      </c>
      <c r="D65" s="1" t="s">
        <v>884</v>
      </c>
      <c r="E65" s="1" t="s">
        <v>335</v>
      </c>
      <c r="F65" s="1" t="s">
        <v>335</v>
      </c>
    </row>
    <row r="66" spans="1:6" ht="20.100000000000001" customHeight="1" x14ac:dyDescent="0.2">
      <c r="A66" s="30"/>
      <c r="B66" s="2">
        <v>16</v>
      </c>
      <c r="C66" s="1" t="s">
        <v>134</v>
      </c>
      <c r="D66" s="1" t="s">
        <v>885</v>
      </c>
      <c r="E66" s="1" t="s">
        <v>335</v>
      </c>
      <c r="F66" s="1" t="s">
        <v>335</v>
      </c>
    </row>
    <row r="67" spans="1:6" ht="20.100000000000001" customHeight="1" x14ac:dyDescent="0.2">
      <c r="A67" s="30"/>
      <c r="B67" s="2">
        <v>17</v>
      </c>
      <c r="C67" s="1" t="s">
        <v>135</v>
      </c>
      <c r="D67" s="1" t="s">
        <v>886</v>
      </c>
      <c r="E67" s="1" t="s">
        <v>335</v>
      </c>
      <c r="F67" s="1" t="s">
        <v>335</v>
      </c>
    </row>
    <row r="68" spans="1:6" ht="20.100000000000001" customHeight="1" x14ac:dyDescent="0.2">
      <c r="A68" s="31" t="s">
        <v>1032</v>
      </c>
      <c r="B68" s="2">
        <v>0</v>
      </c>
      <c r="C68" s="1" t="s">
        <v>1033</v>
      </c>
      <c r="D68" s="1" t="s">
        <v>1034</v>
      </c>
      <c r="E68" s="1"/>
      <c r="F68" s="1"/>
    </row>
    <row r="69" spans="1:6" ht="20.100000000000001" customHeight="1" x14ac:dyDescent="0.2">
      <c r="A69" s="32"/>
      <c r="B69" s="2">
        <v>1</v>
      </c>
      <c r="C69" s="1" t="s">
        <v>534</v>
      </c>
      <c r="D69" s="1" t="s">
        <v>1035</v>
      </c>
      <c r="E69" s="1"/>
      <c r="F69" s="1"/>
    </row>
    <row r="70" spans="1:6" ht="20.100000000000001" customHeight="1" x14ac:dyDescent="0.2">
      <c r="A70" s="32"/>
      <c r="B70" s="2">
        <v>2</v>
      </c>
      <c r="C70" s="1" t="s">
        <v>535</v>
      </c>
      <c r="D70" s="1" t="s">
        <v>1036</v>
      </c>
      <c r="E70" s="1"/>
      <c r="F70" s="1"/>
    </row>
    <row r="71" spans="1:6" ht="20.100000000000001" customHeight="1" x14ac:dyDescent="0.2">
      <c r="A71" s="32"/>
      <c r="B71" s="2">
        <v>3</v>
      </c>
      <c r="C71" s="1" t="s">
        <v>536</v>
      </c>
      <c r="D71" s="1" t="s">
        <v>1037</v>
      </c>
      <c r="E71" s="1"/>
      <c r="F71" s="1"/>
    </row>
    <row r="72" spans="1:6" ht="20.100000000000001" customHeight="1" x14ac:dyDescent="0.2">
      <c r="A72" s="32"/>
      <c r="B72" s="2">
        <v>4</v>
      </c>
      <c r="C72" s="1" t="s">
        <v>537</v>
      </c>
      <c r="D72" s="1" t="s">
        <v>1038</v>
      </c>
      <c r="E72" s="1"/>
      <c r="F72" s="1"/>
    </row>
    <row r="73" spans="1:6" ht="20.100000000000001" customHeight="1" x14ac:dyDescent="0.2">
      <c r="A73" s="32"/>
      <c r="B73" s="2">
        <v>5</v>
      </c>
      <c r="C73" s="1" t="s">
        <v>538</v>
      </c>
      <c r="D73" s="1" t="s">
        <v>1039</v>
      </c>
      <c r="E73" s="1"/>
      <c r="F73" s="1"/>
    </row>
    <row r="74" spans="1:6" ht="20.100000000000001" customHeight="1" x14ac:dyDescent="0.2">
      <c r="A74" s="32"/>
      <c r="B74" s="2">
        <v>6</v>
      </c>
      <c r="C74" s="1" t="s">
        <v>539</v>
      </c>
      <c r="D74" s="1" t="s">
        <v>1040</v>
      </c>
      <c r="E74" s="1"/>
      <c r="F74" s="1"/>
    </row>
    <row r="75" spans="1:6" ht="20.100000000000001" customHeight="1" x14ac:dyDescent="0.2">
      <c r="A75" s="32"/>
      <c r="B75" s="2">
        <v>7</v>
      </c>
      <c r="C75" s="1" t="s">
        <v>540</v>
      </c>
      <c r="D75" s="1" t="s">
        <v>1041</v>
      </c>
      <c r="E75" s="1"/>
      <c r="F75" s="1"/>
    </row>
    <row r="76" spans="1:6" ht="20.100000000000001" customHeight="1" x14ac:dyDescent="0.2">
      <c r="A76" s="32"/>
      <c r="B76" s="2">
        <v>8</v>
      </c>
      <c r="C76" s="1" t="s">
        <v>541</v>
      </c>
      <c r="D76" s="1" t="s">
        <v>1042</v>
      </c>
      <c r="E76" s="1"/>
      <c r="F76" s="1"/>
    </row>
    <row r="77" spans="1:6" ht="20.100000000000001" customHeight="1" x14ac:dyDescent="0.2">
      <c r="A77" s="32"/>
      <c r="B77" s="2">
        <v>9</v>
      </c>
      <c r="C77" s="1" t="s">
        <v>573</v>
      </c>
      <c r="D77" s="1" t="s">
        <v>1043</v>
      </c>
      <c r="E77" s="1"/>
      <c r="F77" s="1"/>
    </row>
    <row r="78" spans="1:6" ht="20.100000000000001" customHeight="1" x14ac:dyDescent="0.2">
      <c r="A78" s="32"/>
      <c r="B78" s="2">
        <v>10</v>
      </c>
      <c r="C78" s="1" t="s">
        <v>574</v>
      </c>
      <c r="D78" s="1" t="s">
        <v>1044</v>
      </c>
      <c r="E78" s="1"/>
      <c r="F78" s="1"/>
    </row>
    <row r="79" spans="1:6" ht="20.100000000000001" customHeight="1" x14ac:dyDescent="0.2">
      <c r="A79" s="32"/>
      <c r="B79" s="2">
        <v>11</v>
      </c>
      <c r="C79" s="1" t="s">
        <v>1055</v>
      </c>
      <c r="D79" s="1" t="s">
        <v>1045</v>
      </c>
      <c r="E79" s="1"/>
      <c r="F79" s="1"/>
    </row>
    <row r="80" spans="1:6" ht="20.100000000000001" customHeight="1" x14ac:dyDescent="0.2">
      <c r="A80" s="32"/>
      <c r="B80" s="2">
        <v>12</v>
      </c>
      <c r="C80" s="1" t="s">
        <v>1056</v>
      </c>
      <c r="D80" s="1" t="s">
        <v>1046</v>
      </c>
      <c r="E80" s="1"/>
      <c r="F80" s="1"/>
    </row>
    <row r="81" spans="1:6" ht="20.100000000000001" customHeight="1" x14ac:dyDescent="0.2">
      <c r="A81" s="32"/>
      <c r="B81" s="2">
        <v>13</v>
      </c>
      <c r="C81" s="1" t="s">
        <v>1057</v>
      </c>
      <c r="D81" s="1" t="s">
        <v>1047</v>
      </c>
      <c r="E81" s="1"/>
      <c r="F81" s="1"/>
    </row>
    <row r="82" spans="1:6" ht="20.100000000000001" customHeight="1" x14ac:dyDescent="0.2">
      <c r="A82" s="32"/>
      <c r="B82" s="2">
        <v>14</v>
      </c>
      <c r="C82" s="1" t="s">
        <v>1058</v>
      </c>
      <c r="D82" s="1" t="s">
        <v>1048</v>
      </c>
      <c r="E82" s="1"/>
      <c r="F82" s="1"/>
    </row>
    <row r="83" spans="1:6" ht="20.100000000000001" customHeight="1" x14ac:dyDescent="0.2">
      <c r="A83" s="32"/>
      <c r="B83" s="2">
        <v>15</v>
      </c>
      <c r="C83" s="1" t="s">
        <v>1059</v>
      </c>
      <c r="D83" s="1" t="s">
        <v>1049</v>
      </c>
      <c r="E83" s="1"/>
      <c r="F83" s="1"/>
    </row>
    <row r="84" spans="1:6" ht="20.100000000000001" customHeight="1" x14ac:dyDescent="0.2">
      <c r="A84" s="32"/>
      <c r="B84" s="2">
        <v>16</v>
      </c>
      <c r="C84" s="1" t="s">
        <v>1060</v>
      </c>
      <c r="D84" s="1" t="s">
        <v>1050</v>
      </c>
      <c r="E84" s="1"/>
      <c r="F84" s="1"/>
    </row>
    <row r="85" spans="1:6" ht="20.100000000000001" customHeight="1" x14ac:dyDescent="0.2">
      <c r="A85" s="32"/>
      <c r="B85" s="2">
        <v>17</v>
      </c>
      <c r="C85" s="1" t="s">
        <v>1061</v>
      </c>
      <c r="D85" s="1" t="s">
        <v>1051</v>
      </c>
      <c r="E85" s="1"/>
      <c r="F85" s="1"/>
    </row>
    <row r="86" spans="1:6" ht="20.100000000000001" customHeight="1" x14ac:dyDescent="0.2">
      <c r="A86" s="32"/>
      <c r="B86" s="2">
        <v>18</v>
      </c>
      <c r="C86" s="1" t="s">
        <v>1062</v>
      </c>
      <c r="D86" s="1" t="s">
        <v>1052</v>
      </c>
      <c r="E86" s="1"/>
      <c r="F86" s="1"/>
    </row>
    <row r="87" spans="1:6" ht="20.100000000000001" customHeight="1" x14ac:dyDescent="0.2">
      <c r="A87" s="33"/>
      <c r="B87" s="2">
        <v>19</v>
      </c>
      <c r="C87" s="1" t="s">
        <v>1063</v>
      </c>
      <c r="D87" s="1" t="s">
        <v>1053</v>
      </c>
      <c r="E87" s="1"/>
      <c r="F87" s="1"/>
    </row>
    <row r="88" spans="1:6" ht="20.100000000000001" customHeight="1" x14ac:dyDescent="0.2">
      <c r="A88" s="2" t="s">
        <v>367</v>
      </c>
      <c r="B88" s="2">
        <v>0</v>
      </c>
      <c r="C88" s="1" t="s">
        <v>366</v>
      </c>
      <c r="D88" s="1" t="s">
        <v>367</v>
      </c>
      <c r="E88" s="1"/>
      <c r="F88" s="1"/>
    </row>
    <row r="89" spans="1:6" ht="20.100000000000001" customHeight="1" x14ac:dyDescent="0.2">
      <c r="A89" s="2" t="s">
        <v>842</v>
      </c>
      <c r="B89" s="2">
        <v>0</v>
      </c>
      <c r="C89" s="1" t="s">
        <v>843</v>
      </c>
      <c r="D89" s="1" t="s">
        <v>332</v>
      </c>
      <c r="E89" s="1"/>
      <c r="F89" s="1"/>
    </row>
    <row r="90" spans="1:6" ht="20.100000000000001" customHeight="1" x14ac:dyDescent="0.2">
      <c r="A90" s="30" t="s">
        <v>897</v>
      </c>
      <c r="B90" s="2">
        <v>0</v>
      </c>
      <c r="C90" s="1" t="s">
        <v>136</v>
      </c>
      <c r="D90" s="1" t="s">
        <v>1068</v>
      </c>
      <c r="E90" s="1" t="s">
        <v>335</v>
      </c>
      <c r="F90" s="1" t="s">
        <v>335</v>
      </c>
    </row>
    <row r="91" spans="1:6" ht="20.100000000000001" customHeight="1" x14ac:dyDescent="0.2">
      <c r="A91" s="30"/>
      <c r="B91" s="2">
        <v>1</v>
      </c>
      <c r="C91" s="1" t="s">
        <v>137</v>
      </c>
      <c r="D91" s="1" t="s">
        <v>1069</v>
      </c>
      <c r="E91" s="1" t="s">
        <v>335</v>
      </c>
      <c r="F91" s="1" t="s">
        <v>335</v>
      </c>
    </row>
    <row r="92" spans="1:6" ht="20.100000000000001" customHeight="1" x14ac:dyDescent="0.2">
      <c r="A92" s="30"/>
      <c r="B92" s="2">
        <v>2</v>
      </c>
      <c r="C92" s="1" t="s">
        <v>138</v>
      </c>
      <c r="D92" s="1" t="s">
        <v>1070</v>
      </c>
      <c r="E92" s="1" t="s">
        <v>335</v>
      </c>
      <c r="F92" s="1" t="s">
        <v>335</v>
      </c>
    </row>
    <row r="93" spans="1:6" ht="20.100000000000001" customHeight="1" x14ac:dyDescent="0.2">
      <c r="A93" s="30"/>
      <c r="B93" s="2">
        <v>3</v>
      </c>
      <c r="C93" s="1" t="s">
        <v>139</v>
      </c>
      <c r="D93" s="1" t="s">
        <v>1071</v>
      </c>
      <c r="E93" s="1" t="s">
        <v>335</v>
      </c>
      <c r="F93" s="1" t="s">
        <v>335</v>
      </c>
    </row>
    <row r="94" spans="1:6" ht="20.100000000000001" customHeight="1" x14ac:dyDescent="0.2">
      <c r="A94" s="30"/>
      <c r="B94" s="2">
        <v>4</v>
      </c>
      <c r="C94" s="1" t="s">
        <v>140</v>
      </c>
      <c r="D94" s="1" t="s">
        <v>898</v>
      </c>
      <c r="E94" s="1" t="s">
        <v>335</v>
      </c>
      <c r="F94" s="1" t="s">
        <v>335</v>
      </c>
    </row>
    <row r="95" spans="1:6" ht="20.100000000000001" customHeight="1" x14ac:dyDescent="0.2">
      <c r="A95" s="30"/>
      <c r="B95" s="2">
        <v>5</v>
      </c>
      <c r="C95" s="1" t="s">
        <v>141</v>
      </c>
      <c r="D95" s="1" t="s">
        <v>906</v>
      </c>
      <c r="E95" s="1" t="s">
        <v>335</v>
      </c>
      <c r="F95" s="1" t="s">
        <v>335</v>
      </c>
    </row>
    <row r="96" spans="1:6" ht="20.100000000000001" customHeight="1" x14ac:dyDescent="0.2">
      <c r="A96" s="30"/>
      <c r="B96" s="2">
        <v>6</v>
      </c>
      <c r="C96" s="1" t="s">
        <v>142</v>
      </c>
      <c r="D96" s="1" t="s">
        <v>908</v>
      </c>
      <c r="E96" s="1" t="s">
        <v>335</v>
      </c>
      <c r="F96" s="1" t="s">
        <v>335</v>
      </c>
    </row>
    <row r="97" spans="1:6" ht="20.100000000000001" customHeight="1" x14ac:dyDescent="0.2">
      <c r="A97" s="30"/>
      <c r="B97" s="2">
        <v>7</v>
      </c>
      <c r="C97" s="1" t="s">
        <v>143</v>
      </c>
      <c r="D97" s="1" t="s">
        <v>909</v>
      </c>
      <c r="E97" s="1" t="s">
        <v>335</v>
      </c>
      <c r="F97" s="1" t="s">
        <v>335</v>
      </c>
    </row>
    <row r="98" spans="1:6" ht="20.100000000000001" customHeight="1" x14ac:dyDescent="0.2">
      <c r="A98" s="30"/>
      <c r="B98" s="2">
        <v>8</v>
      </c>
      <c r="C98" s="1" t="s">
        <v>144</v>
      </c>
      <c r="D98" s="1" t="s">
        <v>910</v>
      </c>
      <c r="E98" s="1" t="s">
        <v>335</v>
      </c>
      <c r="F98" s="1" t="s">
        <v>335</v>
      </c>
    </row>
    <row r="99" spans="1:6" ht="20.100000000000001" customHeight="1" x14ac:dyDescent="0.2">
      <c r="A99" s="30"/>
      <c r="B99" s="2">
        <v>9</v>
      </c>
      <c r="C99" s="1" t="s">
        <v>145</v>
      </c>
      <c r="D99" s="1" t="s">
        <v>911</v>
      </c>
      <c r="E99" s="1" t="s">
        <v>335</v>
      </c>
      <c r="F99" s="1" t="s">
        <v>335</v>
      </c>
    </row>
    <row r="100" spans="1:6" ht="20.100000000000001" customHeight="1" x14ac:dyDescent="0.2">
      <c r="A100" s="30"/>
      <c r="B100" s="2">
        <v>10</v>
      </c>
      <c r="C100" s="1" t="s">
        <v>146</v>
      </c>
      <c r="D100" s="1" t="s">
        <v>907</v>
      </c>
      <c r="E100" s="1" t="s">
        <v>335</v>
      </c>
      <c r="F100" s="1" t="s">
        <v>335</v>
      </c>
    </row>
    <row r="101" spans="1:6" ht="20.100000000000001" customHeight="1" x14ac:dyDescent="0.2">
      <c r="A101" s="30"/>
      <c r="B101" s="2">
        <v>11</v>
      </c>
      <c r="C101" s="1" t="s">
        <v>147</v>
      </c>
      <c r="D101" s="1" t="s">
        <v>905</v>
      </c>
      <c r="E101" s="1" t="s">
        <v>335</v>
      </c>
      <c r="F101" s="1" t="s">
        <v>335</v>
      </c>
    </row>
    <row r="102" spans="1:6" ht="20.100000000000001" customHeight="1" x14ac:dyDescent="0.2">
      <c r="A102" s="30"/>
      <c r="B102" s="2">
        <v>12</v>
      </c>
      <c r="C102" s="1" t="s">
        <v>148</v>
      </c>
      <c r="D102" s="1" t="s">
        <v>899</v>
      </c>
      <c r="E102" s="1" t="s">
        <v>335</v>
      </c>
      <c r="F102" s="1" t="s">
        <v>335</v>
      </c>
    </row>
    <row r="103" spans="1:6" ht="20.100000000000001" customHeight="1" x14ac:dyDescent="0.2">
      <c r="A103" s="30"/>
      <c r="B103" s="2">
        <v>13</v>
      </c>
      <c r="C103" s="1" t="s">
        <v>149</v>
      </c>
      <c r="D103" s="1" t="s">
        <v>900</v>
      </c>
      <c r="E103" s="1" t="s">
        <v>335</v>
      </c>
      <c r="F103" s="1" t="s">
        <v>335</v>
      </c>
    </row>
    <row r="104" spans="1:6" ht="20.100000000000001" customHeight="1" x14ac:dyDescent="0.2">
      <c r="A104" s="30"/>
      <c r="B104" s="2">
        <v>14</v>
      </c>
      <c r="C104" s="1" t="s">
        <v>150</v>
      </c>
      <c r="D104" s="1" t="s">
        <v>901</v>
      </c>
      <c r="E104" s="1" t="s">
        <v>335</v>
      </c>
      <c r="F104" s="1" t="s">
        <v>335</v>
      </c>
    </row>
    <row r="105" spans="1:6" ht="20.100000000000001" customHeight="1" x14ac:dyDescent="0.2">
      <c r="A105" s="30"/>
      <c r="B105" s="2">
        <v>15</v>
      </c>
      <c r="C105" s="1" t="s">
        <v>151</v>
      </c>
      <c r="D105" s="1" t="s">
        <v>902</v>
      </c>
      <c r="E105" s="1" t="s">
        <v>335</v>
      </c>
      <c r="F105" s="1" t="s">
        <v>335</v>
      </c>
    </row>
    <row r="106" spans="1:6" ht="20.100000000000001" customHeight="1" x14ac:dyDescent="0.2">
      <c r="A106" s="30"/>
      <c r="B106" s="2">
        <v>16</v>
      </c>
      <c r="C106" s="1" t="s">
        <v>152</v>
      </c>
      <c r="D106" s="1" t="s">
        <v>903</v>
      </c>
      <c r="E106" s="1" t="s">
        <v>335</v>
      </c>
      <c r="F106" s="1" t="s">
        <v>335</v>
      </c>
    </row>
    <row r="107" spans="1:6" ht="20.100000000000001" customHeight="1" x14ac:dyDescent="0.2">
      <c r="A107" s="30"/>
      <c r="B107" s="2">
        <v>17</v>
      </c>
      <c r="C107" s="1" t="s">
        <v>153</v>
      </c>
      <c r="D107" s="1" t="s">
        <v>904</v>
      </c>
      <c r="E107" s="1" t="s">
        <v>335</v>
      </c>
      <c r="F107" s="1" t="s">
        <v>335</v>
      </c>
    </row>
  </sheetData>
  <mergeCells count="6">
    <mergeCell ref="A1:F1"/>
    <mergeCell ref="A3:A34"/>
    <mergeCell ref="A50:A67"/>
    <mergeCell ref="A90:A107"/>
    <mergeCell ref="A68:A87"/>
    <mergeCell ref="A35:A49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3AA92-AE11-4600-8D87-B99299A329AE}">
  <dimension ref="A1:G300"/>
  <sheetViews>
    <sheetView topLeftCell="A125" workbookViewId="0">
      <selection activeCell="A142" sqref="A142:F152"/>
    </sheetView>
  </sheetViews>
  <sheetFormatPr defaultRowHeight="20.100000000000001" customHeight="1" x14ac:dyDescent="0.2"/>
  <cols>
    <col min="1" max="1" width="6.125" style="8" customWidth="1"/>
    <col min="2" max="2" width="4.5" style="8" bestFit="1" customWidth="1"/>
    <col min="3" max="3" width="5.25" style="7" bestFit="1" customWidth="1"/>
    <col min="4" max="4" width="6" style="7" bestFit="1" customWidth="1"/>
    <col min="5" max="5" width="30.5" style="13" bestFit="1" customWidth="1"/>
    <col min="6" max="6" width="15" style="8" customWidth="1"/>
    <col min="7" max="7" width="13.875" style="7" bestFit="1" customWidth="1"/>
    <col min="8" max="16384" width="9" style="7"/>
  </cols>
  <sheetData>
    <row r="1" spans="1:6" ht="20.100000000000001" customHeight="1" x14ac:dyDescent="0.2">
      <c r="A1" s="30" t="s">
        <v>778</v>
      </c>
      <c r="B1" s="30"/>
      <c r="C1" s="30"/>
      <c r="D1" s="30"/>
      <c r="E1" s="30"/>
      <c r="F1" s="30"/>
    </row>
    <row r="2" spans="1:6" s="6" customFormat="1" ht="20.100000000000001" customHeight="1" x14ac:dyDescent="0.2">
      <c r="A2" s="5" t="s">
        <v>0</v>
      </c>
      <c r="B2" s="5" t="s">
        <v>1</v>
      </c>
      <c r="C2" s="5" t="s">
        <v>8</v>
      </c>
      <c r="D2" s="5" t="s">
        <v>420</v>
      </c>
      <c r="E2" s="11" t="s">
        <v>6</v>
      </c>
      <c r="F2" s="5" t="s">
        <v>47</v>
      </c>
    </row>
    <row r="3" spans="1:6" ht="20.100000000000001" customHeight="1" x14ac:dyDescent="0.2">
      <c r="A3" s="41" t="s">
        <v>483</v>
      </c>
      <c r="B3" s="19">
        <v>0</v>
      </c>
      <c r="C3" s="20" t="s">
        <v>463</v>
      </c>
      <c r="D3" s="20"/>
      <c r="E3" s="21" t="s">
        <v>564</v>
      </c>
      <c r="F3" s="19"/>
    </row>
    <row r="4" spans="1:6" ht="20.100000000000001" customHeight="1" x14ac:dyDescent="0.2">
      <c r="A4" s="41"/>
      <c r="B4" s="19">
        <v>1</v>
      </c>
      <c r="C4" s="20" t="s">
        <v>931</v>
      </c>
      <c r="D4" s="20"/>
      <c r="E4" s="21"/>
      <c r="F4" s="19"/>
    </row>
    <row r="5" spans="1:6" ht="20.100000000000001" customHeight="1" x14ac:dyDescent="0.2">
      <c r="A5" s="41"/>
      <c r="B5" s="19">
        <v>2</v>
      </c>
      <c r="C5" s="20" t="s">
        <v>932</v>
      </c>
      <c r="D5" s="20"/>
      <c r="E5" s="21" t="s">
        <v>565</v>
      </c>
      <c r="F5" s="19"/>
    </row>
    <row r="6" spans="1:6" ht="20.100000000000001" customHeight="1" x14ac:dyDescent="0.2">
      <c r="A6" s="41"/>
      <c r="B6" s="19">
        <v>3</v>
      </c>
      <c r="C6" s="20" t="s">
        <v>933</v>
      </c>
      <c r="D6" s="20"/>
      <c r="E6" s="21"/>
      <c r="F6" s="19"/>
    </row>
    <row r="7" spans="1:6" ht="20.100000000000001" customHeight="1" x14ac:dyDescent="0.2">
      <c r="A7" s="41"/>
      <c r="B7" s="19">
        <v>4</v>
      </c>
      <c r="C7" s="20" t="s">
        <v>934</v>
      </c>
      <c r="D7" s="20"/>
      <c r="E7" s="21" t="s">
        <v>566</v>
      </c>
      <c r="F7" s="19"/>
    </row>
    <row r="8" spans="1:6" ht="20.100000000000001" customHeight="1" x14ac:dyDescent="0.2">
      <c r="A8" s="41"/>
      <c r="B8" s="19">
        <v>5</v>
      </c>
      <c r="C8" s="20" t="s">
        <v>935</v>
      </c>
      <c r="D8" s="20"/>
      <c r="E8" s="21"/>
      <c r="F8" s="19"/>
    </row>
    <row r="9" spans="1:6" ht="20.100000000000001" customHeight="1" x14ac:dyDescent="0.2">
      <c r="A9" s="41"/>
      <c r="B9" s="19">
        <v>6</v>
      </c>
      <c r="C9" s="20" t="s">
        <v>936</v>
      </c>
      <c r="D9" s="20"/>
      <c r="E9" s="21" t="s">
        <v>567</v>
      </c>
      <c r="F9" s="19"/>
    </row>
    <row r="10" spans="1:6" ht="20.100000000000001" customHeight="1" x14ac:dyDescent="0.2">
      <c r="A10" s="41"/>
      <c r="B10" s="19">
        <v>7</v>
      </c>
      <c r="C10" s="20" t="s">
        <v>937</v>
      </c>
      <c r="D10" s="20"/>
      <c r="E10" s="21"/>
      <c r="F10" s="19"/>
    </row>
    <row r="11" spans="1:6" ht="20.100000000000001" customHeight="1" x14ac:dyDescent="0.2">
      <c r="A11" s="41"/>
      <c r="B11" s="19">
        <v>8</v>
      </c>
      <c r="C11" s="20" t="s">
        <v>938</v>
      </c>
      <c r="D11" s="20"/>
      <c r="E11" s="21" t="s">
        <v>791</v>
      </c>
      <c r="F11" s="19"/>
    </row>
    <row r="12" spans="1:6" ht="20.100000000000001" customHeight="1" x14ac:dyDescent="0.2">
      <c r="A12" s="41"/>
      <c r="B12" s="19">
        <v>9</v>
      </c>
      <c r="C12" s="20" t="s">
        <v>939</v>
      </c>
      <c r="D12" s="20"/>
      <c r="E12" s="21"/>
      <c r="F12" s="19"/>
    </row>
    <row r="13" spans="1:6" ht="20.100000000000001" customHeight="1" x14ac:dyDescent="0.2">
      <c r="A13" s="41"/>
      <c r="B13" s="19">
        <v>10</v>
      </c>
      <c r="C13" s="20" t="s">
        <v>464</v>
      </c>
      <c r="D13" s="20"/>
      <c r="E13" s="21" t="s">
        <v>792</v>
      </c>
      <c r="F13" s="19"/>
    </row>
    <row r="14" spans="1:6" ht="20.100000000000001" customHeight="1" x14ac:dyDescent="0.2">
      <c r="A14" s="41"/>
      <c r="B14" s="19">
        <v>11</v>
      </c>
      <c r="C14" s="20" t="s">
        <v>465</v>
      </c>
      <c r="D14" s="20"/>
      <c r="E14" s="21" t="s">
        <v>508</v>
      </c>
      <c r="F14" s="19" t="s">
        <v>514</v>
      </c>
    </row>
    <row r="15" spans="1:6" ht="20.100000000000001" customHeight="1" x14ac:dyDescent="0.2">
      <c r="A15" s="41"/>
      <c r="B15" s="19">
        <v>12</v>
      </c>
      <c r="C15" s="20" t="s">
        <v>466</v>
      </c>
      <c r="D15" s="20"/>
      <c r="E15" s="21" t="s">
        <v>509</v>
      </c>
      <c r="F15" s="19" t="s">
        <v>515</v>
      </c>
    </row>
    <row r="16" spans="1:6" ht="20.100000000000001" customHeight="1" x14ac:dyDescent="0.2">
      <c r="A16" s="41"/>
      <c r="B16" s="19">
        <v>13</v>
      </c>
      <c r="C16" s="20" t="s">
        <v>467</v>
      </c>
      <c r="D16" s="20"/>
      <c r="E16" s="21" t="s">
        <v>510</v>
      </c>
      <c r="F16" s="19" t="s">
        <v>516</v>
      </c>
    </row>
    <row r="17" spans="1:6" ht="20.100000000000001" customHeight="1" x14ac:dyDescent="0.2">
      <c r="A17" s="41"/>
      <c r="B17" s="19">
        <v>14</v>
      </c>
      <c r="C17" s="20" t="s">
        <v>468</v>
      </c>
      <c r="D17" s="20"/>
      <c r="E17" s="21" t="s">
        <v>511</v>
      </c>
      <c r="F17" s="19" t="s">
        <v>517</v>
      </c>
    </row>
    <row r="18" spans="1:6" ht="20.100000000000001" customHeight="1" x14ac:dyDescent="0.2">
      <c r="A18" s="41"/>
      <c r="B18" s="19">
        <v>15</v>
      </c>
      <c r="C18" s="20" t="s">
        <v>469</v>
      </c>
      <c r="D18" s="20"/>
      <c r="E18" s="21" t="s">
        <v>512</v>
      </c>
      <c r="F18" s="19" t="s">
        <v>518</v>
      </c>
    </row>
    <row r="19" spans="1:6" ht="20.100000000000001" customHeight="1" x14ac:dyDescent="0.2">
      <c r="A19" s="41"/>
      <c r="B19" s="19">
        <v>16</v>
      </c>
      <c r="C19" s="20" t="s">
        <v>470</v>
      </c>
      <c r="D19" s="20"/>
      <c r="E19" s="21" t="s">
        <v>513</v>
      </c>
      <c r="F19" s="19" t="s">
        <v>519</v>
      </c>
    </row>
    <row r="20" spans="1:6" ht="20.100000000000001" customHeight="1" x14ac:dyDescent="0.2">
      <c r="A20" s="41"/>
      <c r="B20" s="19">
        <v>17</v>
      </c>
      <c r="C20" s="20" t="s">
        <v>471</v>
      </c>
      <c r="D20" s="20"/>
      <c r="E20" s="21" t="s">
        <v>940</v>
      </c>
      <c r="F20" s="19" t="s">
        <v>520</v>
      </c>
    </row>
    <row r="21" spans="1:6" ht="20.100000000000001" customHeight="1" x14ac:dyDescent="0.2">
      <c r="A21" s="41"/>
      <c r="B21" s="19">
        <v>18</v>
      </c>
      <c r="C21" s="20" t="s">
        <v>472</v>
      </c>
      <c r="D21" s="20"/>
      <c r="E21" s="21" t="s">
        <v>941</v>
      </c>
      <c r="F21" s="19" t="s">
        <v>521</v>
      </c>
    </row>
    <row r="22" spans="1:6" ht="20.100000000000001" customHeight="1" x14ac:dyDescent="0.2">
      <c r="A22" s="41"/>
      <c r="B22" s="19">
        <v>19</v>
      </c>
      <c r="C22" s="20" t="s">
        <v>473</v>
      </c>
      <c r="D22" s="20"/>
      <c r="E22" s="21" t="s">
        <v>942</v>
      </c>
      <c r="F22" s="19" t="s">
        <v>522</v>
      </c>
    </row>
    <row r="23" spans="1:6" ht="20.100000000000001" customHeight="1" x14ac:dyDescent="0.2">
      <c r="A23" s="41"/>
      <c r="B23" s="19">
        <v>20</v>
      </c>
      <c r="C23" s="20" t="s">
        <v>474</v>
      </c>
      <c r="D23" s="20"/>
      <c r="E23" s="21" t="s">
        <v>943</v>
      </c>
      <c r="F23" s="19" t="s">
        <v>523</v>
      </c>
    </row>
    <row r="24" spans="1:6" ht="20.100000000000001" customHeight="1" x14ac:dyDescent="0.2">
      <c r="A24" s="41"/>
      <c r="B24" s="19">
        <v>21</v>
      </c>
      <c r="C24" s="20" t="s">
        <v>475</v>
      </c>
      <c r="D24" s="20"/>
      <c r="E24" s="21" t="s">
        <v>944</v>
      </c>
      <c r="F24" s="19" t="s">
        <v>524</v>
      </c>
    </row>
    <row r="25" spans="1:6" ht="20.100000000000001" customHeight="1" x14ac:dyDescent="0.2">
      <c r="A25" s="41"/>
      <c r="B25" s="19">
        <v>22</v>
      </c>
      <c r="C25" s="20" t="s">
        <v>476</v>
      </c>
      <c r="D25" s="20"/>
      <c r="E25" s="21" t="s">
        <v>945</v>
      </c>
      <c r="F25" s="19" t="s">
        <v>525</v>
      </c>
    </row>
    <row r="26" spans="1:6" ht="20.100000000000001" customHeight="1" x14ac:dyDescent="0.2">
      <c r="A26" s="41"/>
      <c r="B26" s="19">
        <v>23</v>
      </c>
      <c r="C26" s="20" t="s">
        <v>477</v>
      </c>
      <c r="D26" s="20"/>
      <c r="E26" s="21" t="s">
        <v>946</v>
      </c>
      <c r="F26" s="19" t="s">
        <v>526</v>
      </c>
    </row>
    <row r="27" spans="1:6" ht="20.100000000000001" customHeight="1" x14ac:dyDescent="0.2">
      <c r="A27" s="41"/>
      <c r="B27" s="19">
        <v>24</v>
      </c>
      <c r="C27" s="20" t="s">
        <v>478</v>
      </c>
      <c r="D27" s="20"/>
      <c r="E27" s="21" t="s">
        <v>947</v>
      </c>
      <c r="F27" s="19" t="s">
        <v>527</v>
      </c>
    </row>
    <row r="28" spans="1:6" ht="20.100000000000001" customHeight="1" x14ac:dyDescent="0.2">
      <c r="A28" s="41"/>
      <c r="B28" s="19">
        <v>25</v>
      </c>
      <c r="C28" s="20" t="s">
        <v>479</v>
      </c>
      <c r="D28" s="20"/>
      <c r="E28" s="21" t="s">
        <v>948</v>
      </c>
      <c r="F28" s="19" t="s">
        <v>528</v>
      </c>
    </row>
    <row r="29" spans="1:6" ht="20.100000000000001" customHeight="1" x14ac:dyDescent="0.2">
      <c r="A29" s="41"/>
      <c r="B29" s="19">
        <v>26</v>
      </c>
      <c r="C29" s="20" t="s">
        <v>480</v>
      </c>
      <c r="D29" s="20"/>
      <c r="E29" s="21" t="s">
        <v>949</v>
      </c>
      <c r="F29" s="19" t="s">
        <v>529</v>
      </c>
    </row>
    <row r="30" spans="1:6" ht="20.100000000000001" customHeight="1" x14ac:dyDescent="0.2">
      <c r="A30" s="41"/>
      <c r="B30" s="19">
        <v>27</v>
      </c>
      <c r="C30" s="20" t="s">
        <v>481</v>
      </c>
      <c r="D30" s="20"/>
      <c r="E30" s="21" t="s">
        <v>950</v>
      </c>
      <c r="F30" s="19" t="s">
        <v>530</v>
      </c>
    </row>
    <row r="31" spans="1:6" ht="20.100000000000001" customHeight="1" x14ac:dyDescent="0.2">
      <c r="A31" s="41"/>
      <c r="B31" s="19">
        <v>28</v>
      </c>
      <c r="C31" s="20" t="s">
        <v>482</v>
      </c>
      <c r="D31" s="20"/>
      <c r="E31" s="21" t="s">
        <v>951</v>
      </c>
      <c r="F31" s="19" t="s">
        <v>531</v>
      </c>
    </row>
    <row r="32" spans="1:6" ht="20.100000000000001" customHeight="1" x14ac:dyDescent="0.2">
      <c r="A32" s="41"/>
      <c r="B32" s="19">
        <v>29</v>
      </c>
      <c r="C32" s="20" t="s">
        <v>560</v>
      </c>
      <c r="D32" s="20"/>
      <c r="E32" s="21" t="s">
        <v>568</v>
      </c>
      <c r="F32" s="19"/>
    </row>
    <row r="33" spans="1:7" ht="20.100000000000001" customHeight="1" x14ac:dyDescent="0.2">
      <c r="A33" s="41"/>
      <c r="B33" s="19">
        <v>30</v>
      </c>
      <c r="C33" s="20" t="s">
        <v>561</v>
      </c>
      <c r="D33" s="20"/>
      <c r="E33" s="21" t="s">
        <v>569</v>
      </c>
      <c r="F33" s="19"/>
    </row>
    <row r="34" spans="1:7" ht="20.100000000000001" customHeight="1" x14ac:dyDescent="0.2">
      <c r="A34" s="41"/>
      <c r="B34" s="19">
        <v>31</v>
      </c>
      <c r="C34" s="20" t="s">
        <v>562</v>
      </c>
      <c r="D34" s="20"/>
      <c r="E34" s="21" t="s">
        <v>570</v>
      </c>
      <c r="F34" s="19"/>
    </row>
    <row r="35" spans="1:7" ht="20.100000000000001" customHeight="1" x14ac:dyDescent="0.2">
      <c r="A35" s="41"/>
      <c r="B35" s="19">
        <v>32</v>
      </c>
      <c r="C35" s="20" t="s">
        <v>563</v>
      </c>
      <c r="D35" s="20"/>
      <c r="E35" s="21" t="s">
        <v>571</v>
      </c>
      <c r="F35" s="19"/>
    </row>
    <row r="36" spans="1:7" ht="20.100000000000001" customHeight="1" x14ac:dyDescent="0.2">
      <c r="A36" s="41"/>
      <c r="B36" s="19">
        <v>33</v>
      </c>
      <c r="C36" s="20" t="s">
        <v>575</v>
      </c>
      <c r="D36" s="20"/>
      <c r="E36" s="21" t="s">
        <v>793</v>
      </c>
      <c r="F36" s="19"/>
    </row>
    <row r="37" spans="1:7" ht="20.100000000000001" customHeight="1" x14ac:dyDescent="0.2">
      <c r="A37" s="41"/>
      <c r="B37" s="19">
        <v>34</v>
      </c>
      <c r="C37" s="20" t="s">
        <v>794</v>
      </c>
      <c r="D37" s="20"/>
      <c r="E37" s="21" t="s">
        <v>795</v>
      </c>
      <c r="F37" s="19"/>
    </row>
    <row r="38" spans="1:7" ht="20.100000000000001" customHeight="1" x14ac:dyDescent="0.2">
      <c r="A38" s="41"/>
      <c r="B38" s="19">
        <v>35</v>
      </c>
      <c r="C38" s="20" t="s">
        <v>796</v>
      </c>
      <c r="D38" s="20"/>
      <c r="E38" s="21" t="s">
        <v>797</v>
      </c>
      <c r="F38" s="19"/>
    </row>
    <row r="39" spans="1:7" ht="20.100000000000001" customHeight="1" x14ac:dyDescent="0.2">
      <c r="A39" s="41"/>
      <c r="B39" s="19">
        <v>36</v>
      </c>
      <c r="C39" s="20" t="s">
        <v>798</v>
      </c>
      <c r="D39" s="20"/>
      <c r="E39" s="21" t="s">
        <v>799</v>
      </c>
      <c r="F39" s="19"/>
    </row>
    <row r="40" spans="1:7" ht="20.100000000000001" customHeight="1" x14ac:dyDescent="0.2">
      <c r="A40" s="41"/>
      <c r="B40" s="19">
        <v>37</v>
      </c>
      <c r="C40" s="20" t="s">
        <v>800</v>
      </c>
      <c r="D40" s="20"/>
      <c r="E40" s="21" t="s">
        <v>801</v>
      </c>
      <c r="F40" s="19"/>
    </row>
    <row r="41" spans="1:7" ht="20.100000000000001" customHeight="1" x14ac:dyDescent="0.2">
      <c r="A41" s="41"/>
      <c r="B41" s="19">
        <v>38</v>
      </c>
      <c r="C41" s="20" t="s">
        <v>802</v>
      </c>
      <c r="D41" s="20"/>
      <c r="E41" s="21" t="s">
        <v>803</v>
      </c>
      <c r="F41" s="19"/>
    </row>
    <row r="42" spans="1:7" ht="20.100000000000001" customHeight="1" x14ac:dyDescent="0.2">
      <c r="A42" s="41"/>
      <c r="B42" s="19">
        <v>39</v>
      </c>
      <c r="C42" s="20" t="s">
        <v>804</v>
      </c>
      <c r="D42" s="20"/>
      <c r="E42" s="21" t="s">
        <v>805</v>
      </c>
      <c r="F42" s="19"/>
    </row>
    <row r="43" spans="1:7" ht="20.100000000000001" customHeight="1" x14ac:dyDescent="0.2">
      <c r="A43" s="37" t="s">
        <v>336</v>
      </c>
      <c r="B43" s="14">
        <v>0</v>
      </c>
      <c r="C43" s="15" t="s">
        <v>20</v>
      </c>
      <c r="D43" s="15">
        <f>4097+300+B43-1</f>
        <v>4396</v>
      </c>
      <c r="E43" s="16" t="s">
        <v>360</v>
      </c>
      <c r="F43" s="14"/>
    </row>
    <row r="44" spans="1:7" ht="20.100000000000001" customHeight="1" x14ac:dyDescent="0.2">
      <c r="A44" s="37"/>
      <c r="B44" s="14">
        <v>1</v>
      </c>
      <c r="C44" s="15" t="s">
        <v>172</v>
      </c>
      <c r="D44" s="15">
        <f t="shared" ref="D44:D80" si="0">4097+300+B44-1</f>
        <v>4397</v>
      </c>
      <c r="E44" s="16" t="s">
        <v>361</v>
      </c>
      <c r="F44" s="14"/>
    </row>
    <row r="45" spans="1:7" ht="20.100000000000001" customHeight="1" x14ac:dyDescent="0.2">
      <c r="A45" s="37"/>
      <c r="B45" s="14">
        <v>2</v>
      </c>
      <c r="C45" s="15" t="s">
        <v>173</v>
      </c>
      <c r="D45" s="15">
        <f t="shared" si="0"/>
        <v>4398</v>
      </c>
      <c r="E45" s="16" t="s">
        <v>362</v>
      </c>
      <c r="F45" s="14"/>
    </row>
    <row r="46" spans="1:7" ht="20.100000000000001" customHeight="1" x14ac:dyDescent="0.2">
      <c r="A46" s="37"/>
      <c r="B46" s="14">
        <v>3</v>
      </c>
      <c r="C46" s="15" t="s">
        <v>174</v>
      </c>
      <c r="D46" s="15">
        <f t="shared" si="0"/>
        <v>4399</v>
      </c>
      <c r="E46" s="16" t="s">
        <v>363</v>
      </c>
      <c r="F46" s="14"/>
    </row>
    <row r="47" spans="1:7" ht="20.100000000000001" customHeight="1" x14ac:dyDescent="0.2">
      <c r="A47" s="37"/>
      <c r="B47" s="14">
        <v>4</v>
      </c>
      <c r="C47" s="15" t="s">
        <v>340</v>
      </c>
      <c r="D47" s="15">
        <f t="shared" si="0"/>
        <v>4400</v>
      </c>
      <c r="E47" s="16" t="s">
        <v>227</v>
      </c>
      <c r="F47" s="14" t="s">
        <v>359</v>
      </c>
      <c r="G47" s="7">
        <v>0</v>
      </c>
    </row>
    <row r="48" spans="1:7" ht="20.100000000000001" customHeight="1" x14ac:dyDescent="0.2">
      <c r="A48" s="37"/>
      <c r="B48" s="14">
        <v>5</v>
      </c>
      <c r="C48" s="15" t="s">
        <v>341</v>
      </c>
      <c r="D48" s="15">
        <f t="shared" si="0"/>
        <v>4401</v>
      </c>
      <c r="E48" s="16" t="s">
        <v>228</v>
      </c>
      <c r="F48" s="14" t="s">
        <v>359</v>
      </c>
      <c r="G48" s="7">
        <v>1</v>
      </c>
    </row>
    <row r="49" spans="1:7" ht="20.100000000000001" customHeight="1" x14ac:dyDescent="0.2">
      <c r="A49" s="37"/>
      <c r="B49" s="14">
        <v>6</v>
      </c>
      <c r="C49" s="15" t="s">
        <v>342</v>
      </c>
      <c r="D49" s="15">
        <f t="shared" si="0"/>
        <v>4402</v>
      </c>
      <c r="E49" s="16" t="s">
        <v>229</v>
      </c>
      <c r="F49" s="14" t="s">
        <v>359</v>
      </c>
      <c r="G49" s="7">
        <v>2</v>
      </c>
    </row>
    <row r="50" spans="1:7" ht="20.100000000000001" customHeight="1" x14ac:dyDescent="0.2">
      <c r="A50" s="37"/>
      <c r="B50" s="14">
        <v>7</v>
      </c>
      <c r="C50" s="15" t="s">
        <v>343</v>
      </c>
      <c r="D50" s="15">
        <f t="shared" si="0"/>
        <v>4403</v>
      </c>
      <c r="E50" s="16" t="s">
        <v>230</v>
      </c>
      <c r="F50" s="14" t="s">
        <v>359</v>
      </c>
      <c r="G50" s="7">
        <v>3</v>
      </c>
    </row>
    <row r="51" spans="1:7" ht="20.100000000000001" customHeight="1" x14ac:dyDescent="0.2">
      <c r="A51" s="37"/>
      <c r="B51" s="14">
        <v>8</v>
      </c>
      <c r="C51" s="15" t="s">
        <v>344</v>
      </c>
      <c r="D51" s="15">
        <f t="shared" si="0"/>
        <v>4404</v>
      </c>
      <c r="E51" s="16" t="s">
        <v>231</v>
      </c>
      <c r="F51" s="14" t="s">
        <v>359</v>
      </c>
      <c r="G51" s="7">
        <v>4</v>
      </c>
    </row>
    <row r="52" spans="1:7" ht="20.100000000000001" customHeight="1" x14ac:dyDescent="0.2">
      <c r="A52" s="37"/>
      <c r="B52" s="14">
        <v>9</v>
      </c>
      <c r="C52" s="15" t="s">
        <v>345</v>
      </c>
      <c r="D52" s="15">
        <f t="shared" si="0"/>
        <v>4405</v>
      </c>
      <c r="E52" s="16" t="s">
        <v>232</v>
      </c>
      <c r="F52" s="14" t="s">
        <v>359</v>
      </c>
      <c r="G52" s="7">
        <v>5</v>
      </c>
    </row>
    <row r="53" spans="1:7" ht="20.100000000000001" customHeight="1" x14ac:dyDescent="0.2">
      <c r="A53" s="37"/>
      <c r="B53" s="14">
        <v>10</v>
      </c>
      <c r="C53" s="15" t="s">
        <v>346</v>
      </c>
      <c r="D53" s="15">
        <f t="shared" si="0"/>
        <v>4406</v>
      </c>
      <c r="E53" s="16" t="s">
        <v>233</v>
      </c>
      <c r="F53" s="14" t="s">
        <v>359</v>
      </c>
      <c r="G53" s="7">
        <v>6</v>
      </c>
    </row>
    <row r="54" spans="1:7" ht="20.100000000000001" customHeight="1" x14ac:dyDescent="0.2">
      <c r="A54" s="37"/>
      <c r="B54" s="14">
        <v>11</v>
      </c>
      <c r="C54" s="15" t="s">
        <v>347</v>
      </c>
      <c r="D54" s="15">
        <f t="shared" si="0"/>
        <v>4407</v>
      </c>
      <c r="E54" s="16" t="s">
        <v>234</v>
      </c>
      <c r="F54" s="14" t="s">
        <v>359</v>
      </c>
      <c r="G54" s="7">
        <v>7</v>
      </c>
    </row>
    <row r="55" spans="1:7" ht="20.100000000000001" customHeight="1" x14ac:dyDescent="0.2">
      <c r="A55" s="37"/>
      <c r="B55" s="14">
        <v>12</v>
      </c>
      <c r="C55" s="15" t="s">
        <v>348</v>
      </c>
      <c r="D55" s="15">
        <f t="shared" si="0"/>
        <v>4408</v>
      </c>
      <c r="E55" s="16" t="s">
        <v>235</v>
      </c>
      <c r="F55" s="14" t="s">
        <v>359</v>
      </c>
      <c r="G55" s="7">
        <v>8</v>
      </c>
    </row>
    <row r="56" spans="1:7" ht="20.100000000000001" customHeight="1" x14ac:dyDescent="0.2">
      <c r="A56" s="37"/>
      <c r="B56" s="14">
        <v>13</v>
      </c>
      <c r="C56" s="15" t="s">
        <v>349</v>
      </c>
      <c r="D56" s="15">
        <f t="shared" si="0"/>
        <v>4409</v>
      </c>
      <c r="E56" s="16" t="s">
        <v>236</v>
      </c>
      <c r="F56" s="14" t="s">
        <v>359</v>
      </c>
      <c r="G56" s="7">
        <v>9</v>
      </c>
    </row>
    <row r="57" spans="1:7" ht="20.100000000000001" customHeight="1" x14ac:dyDescent="0.2">
      <c r="A57" s="37"/>
      <c r="B57" s="14">
        <v>14</v>
      </c>
      <c r="C57" s="15" t="s">
        <v>350</v>
      </c>
      <c r="D57" s="15">
        <f t="shared" si="0"/>
        <v>4410</v>
      </c>
      <c r="E57" s="16" t="s">
        <v>237</v>
      </c>
      <c r="F57" s="14" t="s">
        <v>359</v>
      </c>
      <c r="G57" s="7">
        <v>10</v>
      </c>
    </row>
    <row r="58" spans="1:7" ht="20.100000000000001" customHeight="1" x14ac:dyDescent="0.2">
      <c r="A58" s="37"/>
      <c r="B58" s="14">
        <v>15</v>
      </c>
      <c r="C58" s="15" t="s">
        <v>351</v>
      </c>
      <c r="D58" s="15">
        <f t="shared" si="0"/>
        <v>4411</v>
      </c>
      <c r="E58" s="16" t="s">
        <v>238</v>
      </c>
      <c r="F58" s="14" t="s">
        <v>359</v>
      </c>
      <c r="G58" s="7">
        <v>11</v>
      </c>
    </row>
    <row r="59" spans="1:7" ht="20.100000000000001" customHeight="1" x14ac:dyDescent="0.2">
      <c r="A59" s="37"/>
      <c r="B59" s="14">
        <v>16</v>
      </c>
      <c r="C59" s="15" t="s">
        <v>352</v>
      </c>
      <c r="D59" s="15">
        <f t="shared" si="0"/>
        <v>4412</v>
      </c>
      <c r="E59" s="16" t="s">
        <v>751</v>
      </c>
      <c r="F59" s="14" t="s">
        <v>359</v>
      </c>
      <c r="G59" s="7">
        <v>12</v>
      </c>
    </row>
    <row r="60" spans="1:7" ht="20.100000000000001" customHeight="1" x14ac:dyDescent="0.2">
      <c r="A60" s="37"/>
      <c r="B60" s="14">
        <v>17</v>
      </c>
      <c r="C60" s="15" t="s">
        <v>353</v>
      </c>
      <c r="D60" s="15">
        <f t="shared" si="0"/>
        <v>4413</v>
      </c>
      <c r="E60" s="16" t="s">
        <v>752</v>
      </c>
      <c r="F60" s="14" t="s">
        <v>359</v>
      </c>
      <c r="G60" s="7">
        <v>13</v>
      </c>
    </row>
    <row r="61" spans="1:7" ht="20.100000000000001" customHeight="1" x14ac:dyDescent="0.2">
      <c r="A61" s="37"/>
      <c r="B61" s="14">
        <v>18</v>
      </c>
      <c r="C61" s="15" t="s">
        <v>354</v>
      </c>
      <c r="D61" s="15">
        <f t="shared" si="0"/>
        <v>4414</v>
      </c>
      <c r="E61" s="16" t="s">
        <v>753</v>
      </c>
      <c r="F61" s="14" t="s">
        <v>359</v>
      </c>
      <c r="G61" s="7">
        <v>14</v>
      </c>
    </row>
    <row r="62" spans="1:7" ht="20.100000000000001" customHeight="1" x14ac:dyDescent="0.2">
      <c r="A62" s="37"/>
      <c r="B62" s="14">
        <v>19</v>
      </c>
      <c r="C62" s="15" t="s">
        <v>355</v>
      </c>
      <c r="D62" s="15">
        <f t="shared" si="0"/>
        <v>4415</v>
      </c>
      <c r="E62" s="16" t="s">
        <v>748</v>
      </c>
      <c r="F62" s="14" t="s">
        <v>359</v>
      </c>
      <c r="G62" s="7">
        <v>15</v>
      </c>
    </row>
    <row r="63" spans="1:7" ht="20.100000000000001" customHeight="1" x14ac:dyDescent="0.2">
      <c r="A63" s="37"/>
      <c r="B63" s="14">
        <v>20</v>
      </c>
      <c r="C63" s="15" t="s">
        <v>356</v>
      </c>
      <c r="D63" s="15">
        <f t="shared" si="0"/>
        <v>4416</v>
      </c>
      <c r="E63" s="16" t="s">
        <v>749</v>
      </c>
      <c r="F63" s="14" t="s">
        <v>359</v>
      </c>
      <c r="G63" s="7">
        <v>16</v>
      </c>
    </row>
    <row r="64" spans="1:7" ht="20.100000000000001" customHeight="1" x14ac:dyDescent="0.2">
      <c r="A64" s="37"/>
      <c r="B64" s="14">
        <v>21</v>
      </c>
      <c r="C64" s="15" t="s">
        <v>357</v>
      </c>
      <c r="D64" s="15">
        <f t="shared" si="0"/>
        <v>4417</v>
      </c>
      <c r="E64" s="16" t="s">
        <v>750</v>
      </c>
      <c r="F64" s="14" t="s">
        <v>359</v>
      </c>
      <c r="G64" s="7">
        <v>17</v>
      </c>
    </row>
    <row r="65" spans="1:7" ht="20.100000000000001" customHeight="1" x14ac:dyDescent="0.2">
      <c r="A65" s="37"/>
      <c r="B65" s="14">
        <v>22</v>
      </c>
      <c r="C65" s="15" t="s">
        <v>755</v>
      </c>
      <c r="D65" s="15">
        <f t="shared" si="0"/>
        <v>4418</v>
      </c>
      <c r="E65" s="16" t="s">
        <v>754</v>
      </c>
      <c r="F65" s="14" t="s">
        <v>359</v>
      </c>
      <c r="G65" s="7">
        <v>18</v>
      </c>
    </row>
    <row r="66" spans="1:7" ht="20.100000000000001" customHeight="1" x14ac:dyDescent="0.2">
      <c r="A66" s="37"/>
      <c r="B66" s="14">
        <v>23</v>
      </c>
      <c r="C66" s="15" t="s">
        <v>756</v>
      </c>
      <c r="D66" s="15">
        <f t="shared" si="0"/>
        <v>4419</v>
      </c>
      <c r="E66" s="16" t="s">
        <v>747</v>
      </c>
      <c r="F66" s="14" t="s">
        <v>358</v>
      </c>
      <c r="G66" s="7">
        <v>19</v>
      </c>
    </row>
    <row r="67" spans="1:7" ht="20.100000000000001" customHeight="1" x14ac:dyDescent="0.2">
      <c r="A67" s="37"/>
      <c r="B67" s="14">
        <v>24</v>
      </c>
      <c r="C67" s="15" t="s">
        <v>757</v>
      </c>
      <c r="D67" s="15">
        <f t="shared" si="0"/>
        <v>4420</v>
      </c>
      <c r="E67" s="16" t="s">
        <v>779</v>
      </c>
      <c r="F67" s="14" t="s">
        <v>358</v>
      </c>
      <c r="G67" s="7">
        <v>20</v>
      </c>
    </row>
    <row r="68" spans="1:7" ht="20.100000000000001" customHeight="1" x14ac:dyDescent="0.2">
      <c r="A68" s="37"/>
      <c r="B68" s="14">
        <v>25</v>
      </c>
      <c r="C68" s="15" t="s">
        <v>758</v>
      </c>
      <c r="D68" s="15">
        <f t="shared" si="0"/>
        <v>4421</v>
      </c>
      <c r="E68" s="16" t="s">
        <v>771</v>
      </c>
      <c r="F68" s="14"/>
      <c r="G68" s="7">
        <v>21</v>
      </c>
    </row>
    <row r="69" spans="1:7" ht="20.100000000000001" customHeight="1" x14ac:dyDescent="0.2">
      <c r="A69" s="37"/>
      <c r="B69" s="14">
        <v>26</v>
      </c>
      <c r="C69" s="15" t="s">
        <v>759</v>
      </c>
      <c r="D69" s="15">
        <f t="shared" si="0"/>
        <v>4422</v>
      </c>
      <c r="E69" s="16" t="s">
        <v>780</v>
      </c>
      <c r="F69" s="14"/>
      <c r="G69" s="7">
        <v>22</v>
      </c>
    </row>
    <row r="70" spans="1:7" ht="20.100000000000001" customHeight="1" x14ac:dyDescent="0.2">
      <c r="A70" s="37"/>
      <c r="B70" s="14">
        <v>27</v>
      </c>
      <c r="C70" s="15" t="s">
        <v>760</v>
      </c>
      <c r="D70" s="15">
        <f t="shared" si="0"/>
        <v>4423</v>
      </c>
      <c r="E70" s="16" t="s">
        <v>781</v>
      </c>
      <c r="F70" s="14"/>
      <c r="G70" s="7">
        <v>23</v>
      </c>
    </row>
    <row r="71" spans="1:7" ht="20.100000000000001" customHeight="1" x14ac:dyDescent="0.2">
      <c r="A71" s="37"/>
      <c r="B71" s="14">
        <v>28</v>
      </c>
      <c r="C71" s="15" t="s">
        <v>761</v>
      </c>
      <c r="D71" s="15">
        <f t="shared" si="0"/>
        <v>4424</v>
      </c>
      <c r="E71" s="16" t="s">
        <v>772</v>
      </c>
      <c r="F71" s="14"/>
      <c r="G71" s="7">
        <v>24</v>
      </c>
    </row>
    <row r="72" spans="1:7" ht="20.100000000000001" customHeight="1" x14ac:dyDescent="0.2">
      <c r="A72" s="37"/>
      <c r="B72" s="14">
        <v>29</v>
      </c>
      <c r="C72" s="15" t="s">
        <v>762</v>
      </c>
      <c r="D72" s="15">
        <f t="shared" si="0"/>
        <v>4425</v>
      </c>
      <c r="E72" s="16" t="s">
        <v>773</v>
      </c>
      <c r="F72" s="14"/>
      <c r="G72" s="7">
        <v>25</v>
      </c>
    </row>
    <row r="73" spans="1:7" ht="20.100000000000001" customHeight="1" x14ac:dyDescent="0.2">
      <c r="A73" s="37"/>
      <c r="B73" s="14">
        <v>30</v>
      </c>
      <c r="C73" s="15" t="s">
        <v>763</v>
      </c>
      <c r="D73" s="15">
        <f t="shared" si="0"/>
        <v>4426</v>
      </c>
      <c r="E73" s="16" t="s">
        <v>774</v>
      </c>
      <c r="F73" s="14"/>
      <c r="G73" s="7">
        <v>26</v>
      </c>
    </row>
    <row r="74" spans="1:7" ht="20.100000000000001" customHeight="1" x14ac:dyDescent="0.2">
      <c r="A74" s="37"/>
      <c r="B74" s="14">
        <v>31</v>
      </c>
      <c r="C74" s="15" t="s">
        <v>764</v>
      </c>
      <c r="D74" s="15">
        <f t="shared" si="0"/>
        <v>4427</v>
      </c>
      <c r="E74" s="16" t="s">
        <v>782</v>
      </c>
      <c r="F74" s="14"/>
      <c r="G74" s="7">
        <v>27</v>
      </c>
    </row>
    <row r="75" spans="1:7" ht="20.100000000000001" customHeight="1" x14ac:dyDescent="0.2">
      <c r="A75" s="37"/>
      <c r="B75" s="14">
        <v>32</v>
      </c>
      <c r="C75" s="15" t="s">
        <v>765</v>
      </c>
      <c r="D75" s="15">
        <f t="shared" si="0"/>
        <v>4428</v>
      </c>
      <c r="E75" s="16" t="s">
        <v>783</v>
      </c>
      <c r="F75" s="14"/>
      <c r="G75" s="7">
        <v>28</v>
      </c>
    </row>
    <row r="76" spans="1:7" ht="20.100000000000001" customHeight="1" x14ac:dyDescent="0.2">
      <c r="A76" s="37"/>
      <c r="B76" s="14">
        <v>33</v>
      </c>
      <c r="C76" s="15" t="s">
        <v>766</v>
      </c>
      <c r="D76" s="15">
        <f t="shared" si="0"/>
        <v>4429</v>
      </c>
      <c r="E76" s="16" t="s">
        <v>784</v>
      </c>
      <c r="F76" s="14"/>
      <c r="G76" s="7">
        <v>29</v>
      </c>
    </row>
    <row r="77" spans="1:7" ht="20.100000000000001" customHeight="1" x14ac:dyDescent="0.2">
      <c r="A77" s="37"/>
      <c r="B77" s="14">
        <v>34</v>
      </c>
      <c r="C77" s="15" t="s">
        <v>767</v>
      </c>
      <c r="D77" s="15">
        <f t="shared" si="0"/>
        <v>4430</v>
      </c>
      <c r="E77" s="16" t="s">
        <v>785</v>
      </c>
      <c r="F77" s="14"/>
      <c r="G77" s="7">
        <v>30</v>
      </c>
    </row>
    <row r="78" spans="1:7" ht="20.100000000000001" customHeight="1" x14ac:dyDescent="0.2">
      <c r="A78" s="37"/>
      <c r="B78" s="14">
        <v>35</v>
      </c>
      <c r="C78" s="15" t="s">
        <v>768</v>
      </c>
      <c r="D78" s="15">
        <f t="shared" si="0"/>
        <v>4431</v>
      </c>
      <c r="E78" s="16" t="s">
        <v>786</v>
      </c>
      <c r="F78" s="14"/>
      <c r="G78" s="7">
        <v>31</v>
      </c>
    </row>
    <row r="79" spans="1:7" ht="20.100000000000001" customHeight="1" x14ac:dyDescent="0.2">
      <c r="A79" s="37"/>
      <c r="B79" s="14">
        <v>36</v>
      </c>
      <c r="C79" s="15" t="s">
        <v>769</v>
      </c>
      <c r="D79" s="15">
        <f t="shared" si="0"/>
        <v>4432</v>
      </c>
      <c r="E79" s="16" t="s">
        <v>775</v>
      </c>
      <c r="F79" s="14"/>
      <c r="G79" s="7">
        <v>32</v>
      </c>
    </row>
    <row r="80" spans="1:7" ht="20.100000000000001" customHeight="1" x14ac:dyDescent="0.2">
      <c r="A80" s="37"/>
      <c r="B80" s="14">
        <v>37</v>
      </c>
      <c r="C80" s="15" t="s">
        <v>770</v>
      </c>
      <c r="D80" s="15">
        <f t="shared" si="0"/>
        <v>4433</v>
      </c>
      <c r="E80" s="16" t="s">
        <v>776</v>
      </c>
      <c r="F80" s="14"/>
      <c r="G80" s="7">
        <v>33</v>
      </c>
    </row>
    <row r="81" spans="1:6" ht="20.100000000000001" customHeight="1" x14ac:dyDescent="0.2">
      <c r="A81" s="30" t="s">
        <v>999</v>
      </c>
      <c r="B81" s="2">
        <v>0</v>
      </c>
      <c r="C81" s="1" t="s">
        <v>445</v>
      </c>
      <c r="D81" s="1"/>
      <c r="E81" s="12" t="s">
        <v>952</v>
      </c>
      <c r="F81" s="2" t="s">
        <v>553</v>
      </c>
    </row>
    <row r="82" spans="1:6" ht="20.100000000000001" customHeight="1" x14ac:dyDescent="0.2">
      <c r="A82" s="30"/>
      <c r="B82" s="2">
        <v>1</v>
      </c>
      <c r="C82" s="1" t="s">
        <v>446</v>
      </c>
      <c r="D82" s="1"/>
      <c r="E82" s="12" t="s">
        <v>953</v>
      </c>
      <c r="F82" s="2" t="s">
        <v>553</v>
      </c>
    </row>
    <row r="83" spans="1:6" ht="20.100000000000001" customHeight="1" x14ac:dyDescent="0.2">
      <c r="A83" s="30"/>
      <c r="B83" s="2">
        <v>2</v>
      </c>
      <c r="C83" s="1" t="s">
        <v>447</v>
      </c>
      <c r="D83" s="1"/>
      <c r="E83" s="12" t="s">
        <v>954</v>
      </c>
      <c r="F83" s="2" t="s">
        <v>553</v>
      </c>
    </row>
    <row r="84" spans="1:6" ht="20.100000000000001" customHeight="1" x14ac:dyDescent="0.2">
      <c r="A84" s="30"/>
      <c r="B84" s="2">
        <v>3</v>
      </c>
      <c r="C84" s="1" t="s">
        <v>448</v>
      </c>
      <c r="D84" s="1"/>
      <c r="E84" s="12" t="s">
        <v>955</v>
      </c>
      <c r="F84" s="2" t="s">
        <v>553</v>
      </c>
    </row>
    <row r="85" spans="1:6" ht="20.100000000000001" customHeight="1" x14ac:dyDescent="0.2">
      <c r="A85" s="30"/>
      <c r="B85" s="2">
        <v>4</v>
      </c>
      <c r="C85" s="1" t="s">
        <v>449</v>
      </c>
      <c r="D85" s="1"/>
      <c r="E85" s="12" t="s">
        <v>956</v>
      </c>
      <c r="F85" s="2" t="s">
        <v>553</v>
      </c>
    </row>
    <row r="86" spans="1:6" ht="20.100000000000001" customHeight="1" x14ac:dyDescent="0.2">
      <c r="A86" s="30"/>
      <c r="B86" s="2">
        <v>5</v>
      </c>
      <c r="C86" s="1" t="s">
        <v>450</v>
      </c>
      <c r="D86" s="1"/>
      <c r="E86" s="12" t="s">
        <v>957</v>
      </c>
      <c r="F86" s="2" t="s">
        <v>553</v>
      </c>
    </row>
    <row r="87" spans="1:6" ht="20.100000000000001" customHeight="1" x14ac:dyDescent="0.2">
      <c r="A87" s="30"/>
      <c r="B87" s="2">
        <v>6</v>
      </c>
      <c r="C87" s="1" t="s">
        <v>457</v>
      </c>
      <c r="D87" s="1"/>
      <c r="E87" s="12" t="s">
        <v>958</v>
      </c>
      <c r="F87" s="2" t="s">
        <v>554</v>
      </c>
    </row>
    <row r="88" spans="1:6" ht="20.100000000000001" customHeight="1" x14ac:dyDescent="0.2">
      <c r="A88" s="30"/>
      <c r="B88" s="2">
        <v>7</v>
      </c>
      <c r="C88" s="1" t="s">
        <v>458</v>
      </c>
      <c r="D88" s="1"/>
      <c r="E88" s="12" t="s">
        <v>959</v>
      </c>
      <c r="F88" s="2" t="s">
        <v>554</v>
      </c>
    </row>
    <row r="89" spans="1:6" ht="20.100000000000001" customHeight="1" x14ac:dyDescent="0.2">
      <c r="A89" s="30"/>
      <c r="B89" s="2">
        <v>8</v>
      </c>
      <c r="C89" s="1" t="s">
        <v>459</v>
      </c>
      <c r="D89" s="1"/>
      <c r="E89" s="12" t="s">
        <v>960</v>
      </c>
      <c r="F89" s="2" t="s">
        <v>554</v>
      </c>
    </row>
    <row r="90" spans="1:6" ht="20.100000000000001" customHeight="1" x14ac:dyDescent="0.2">
      <c r="A90" s="30"/>
      <c r="B90" s="2">
        <v>9</v>
      </c>
      <c r="C90" s="1" t="s">
        <v>460</v>
      </c>
      <c r="D90" s="1"/>
      <c r="E90" s="12" t="s">
        <v>961</v>
      </c>
      <c r="F90" s="2" t="s">
        <v>554</v>
      </c>
    </row>
    <row r="91" spans="1:6" ht="20.100000000000001" customHeight="1" x14ac:dyDescent="0.2">
      <c r="A91" s="30"/>
      <c r="B91" s="2">
        <v>10</v>
      </c>
      <c r="C91" s="1" t="s">
        <v>461</v>
      </c>
      <c r="D91" s="1"/>
      <c r="E91" s="12" t="s">
        <v>962</v>
      </c>
      <c r="F91" s="2" t="s">
        <v>554</v>
      </c>
    </row>
    <row r="92" spans="1:6" ht="20.100000000000001" customHeight="1" x14ac:dyDescent="0.2">
      <c r="A92" s="30"/>
      <c r="B92" s="2">
        <v>11</v>
      </c>
      <c r="C92" s="1" t="s">
        <v>462</v>
      </c>
      <c r="D92" s="1"/>
      <c r="E92" s="12" t="s">
        <v>963</v>
      </c>
      <c r="F92" s="2" t="s">
        <v>554</v>
      </c>
    </row>
    <row r="93" spans="1:6" ht="58.5" customHeight="1" x14ac:dyDescent="0.2">
      <c r="A93" s="2" t="s">
        <v>19</v>
      </c>
      <c r="B93" s="2">
        <v>0</v>
      </c>
      <c r="C93" s="1" t="s">
        <v>170</v>
      </c>
      <c r="D93" s="1"/>
      <c r="E93" s="3" t="s">
        <v>1064</v>
      </c>
      <c r="F93" s="2"/>
    </row>
    <row r="94" spans="1:6" ht="20.100000000000001" customHeight="1" x14ac:dyDescent="0.2">
      <c r="A94" s="2" t="s">
        <v>303</v>
      </c>
      <c r="B94" s="2">
        <v>1</v>
      </c>
      <c r="C94" s="1" t="s">
        <v>171</v>
      </c>
      <c r="D94" s="1"/>
      <c r="E94" s="12"/>
      <c r="F94" s="2"/>
    </row>
    <row r="95" spans="1:6" ht="105.75" customHeight="1" x14ac:dyDescent="0.2">
      <c r="A95" s="2" t="s">
        <v>964</v>
      </c>
      <c r="B95" s="2">
        <v>0</v>
      </c>
      <c r="C95" s="1" t="s">
        <v>877</v>
      </c>
      <c r="D95" s="1"/>
      <c r="E95" s="18" t="s">
        <v>969</v>
      </c>
      <c r="F95" s="2"/>
    </row>
    <row r="96" spans="1:6" ht="20.100000000000001" customHeight="1" x14ac:dyDescent="0.2">
      <c r="A96" s="30" t="s">
        <v>967</v>
      </c>
      <c r="B96" s="2">
        <v>0</v>
      </c>
      <c r="C96" s="1" t="s">
        <v>968</v>
      </c>
      <c r="D96" s="1"/>
      <c r="E96" s="12" t="s">
        <v>982</v>
      </c>
      <c r="F96" s="2"/>
    </row>
    <row r="97" spans="1:6" ht="20.100000000000001" customHeight="1" x14ac:dyDescent="0.2">
      <c r="A97" s="30"/>
      <c r="B97" s="2">
        <v>1</v>
      </c>
      <c r="C97" s="1" t="s">
        <v>970</v>
      </c>
      <c r="D97" s="1"/>
      <c r="E97" s="35" t="s">
        <v>983</v>
      </c>
      <c r="F97" s="2"/>
    </row>
    <row r="98" spans="1:6" ht="20.100000000000001" customHeight="1" x14ac:dyDescent="0.2">
      <c r="A98" s="30"/>
      <c r="B98" s="2">
        <v>2</v>
      </c>
      <c r="C98" s="1" t="s">
        <v>971</v>
      </c>
      <c r="D98" s="1"/>
      <c r="E98" s="35"/>
      <c r="F98" s="2"/>
    </row>
    <row r="99" spans="1:6" ht="20.100000000000001" customHeight="1" x14ac:dyDescent="0.2">
      <c r="A99" s="30"/>
      <c r="B99" s="2">
        <v>3</v>
      </c>
      <c r="C99" s="1" t="s">
        <v>972</v>
      </c>
      <c r="D99" s="1"/>
      <c r="E99" s="35" t="s">
        <v>984</v>
      </c>
      <c r="F99" s="2"/>
    </row>
    <row r="100" spans="1:6" ht="20.100000000000001" customHeight="1" x14ac:dyDescent="0.2">
      <c r="A100" s="30"/>
      <c r="B100" s="2">
        <v>4</v>
      </c>
      <c r="C100" s="1" t="s">
        <v>973</v>
      </c>
      <c r="D100" s="1"/>
      <c r="E100" s="35"/>
      <c r="F100" s="2"/>
    </row>
    <row r="101" spans="1:6" ht="20.100000000000001" customHeight="1" x14ac:dyDescent="0.2">
      <c r="A101" s="30"/>
      <c r="B101" s="2">
        <v>5</v>
      </c>
      <c r="C101" s="1" t="s">
        <v>974</v>
      </c>
      <c r="D101" s="1"/>
      <c r="E101" s="12" t="s">
        <v>985</v>
      </c>
      <c r="F101" s="2"/>
    </row>
    <row r="102" spans="1:6" ht="20.100000000000001" customHeight="1" x14ac:dyDescent="0.2">
      <c r="A102" s="30"/>
      <c r="B102" s="2">
        <v>6</v>
      </c>
      <c r="C102" s="1" t="s">
        <v>975</v>
      </c>
      <c r="D102" s="1"/>
      <c r="E102" s="12" t="s">
        <v>989</v>
      </c>
      <c r="F102" s="2"/>
    </row>
    <row r="103" spans="1:6" ht="20.100000000000001" customHeight="1" x14ac:dyDescent="0.2">
      <c r="A103" s="30"/>
      <c r="B103" s="2">
        <v>7</v>
      </c>
      <c r="C103" s="1" t="s">
        <v>976</v>
      </c>
      <c r="D103" s="1"/>
      <c r="E103" s="35" t="s">
        <v>986</v>
      </c>
      <c r="F103" s="2"/>
    </row>
    <row r="104" spans="1:6" ht="20.100000000000001" customHeight="1" x14ac:dyDescent="0.2">
      <c r="A104" s="30"/>
      <c r="B104" s="2">
        <v>8</v>
      </c>
      <c r="C104" s="1" t="s">
        <v>977</v>
      </c>
      <c r="D104" s="1"/>
      <c r="E104" s="35"/>
      <c r="F104" s="2"/>
    </row>
    <row r="105" spans="1:6" ht="20.100000000000001" customHeight="1" x14ac:dyDescent="0.2">
      <c r="A105" s="30"/>
      <c r="B105" s="2">
        <v>9</v>
      </c>
      <c r="C105" s="1" t="s">
        <v>978</v>
      </c>
      <c r="D105" s="1"/>
      <c r="E105" s="35" t="s">
        <v>987</v>
      </c>
      <c r="F105" s="2"/>
    </row>
    <row r="106" spans="1:6" ht="20.100000000000001" customHeight="1" x14ac:dyDescent="0.2">
      <c r="A106" s="30"/>
      <c r="B106" s="2">
        <v>10</v>
      </c>
      <c r="C106" s="1" t="s">
        <v>979</v>
      </c>
      <c r="D106" s="1"/>
      <c r="E106" s="35"/>
      <c r="F106" s="2"/>
    </row>
    <row r="107" spans="1:6" ht="20.100000000000001" customHeight="1" x14ac:dyDescent="0.2">
      <c r="A107" s="30"/>
      <c r="B107" s="2">
        <v>11</v>
      </c>
      <c r="C107" s="1" t="s">
        <v>980</v>
      </c>
      <c r="D107" s="1"/>
      <c r="E107" s="12" t="s">
        <v>988</v>
      </c>
      <c r="F107" s="2"/>
    </row>
    <row r="108" spans="1:6" ht="20.100000000000001" customHeight="1" x14ac:dyDescent="0.2">
      <c r="A108" s="30"/>
      <c r="B108" s="2">
        <v>12</v>
      </c>
      <c r="C108" s="1" t="s">
        <v>981</v>
      </c>
      <c r="D108" s="1"/>
      <c r="E108" s="18" t="s">
        <v>1031</v>
      </c>
      <c r="F108" s="2"/>
    </row>
    <row r="109" spans="1:6" ht="20.100000000000001" customHeight="1" x14ac:dyDescent="0.2">
      <c r="A109" s="37" t="s">
        <v>337</v>
      </c>
      <c r="B109" s="14">
        <v>0</v>
      </c>
      <c r="C109" s="15" t="s">
        <v>304</v>
      </c>
      <c r="D109" s="15"/>
      <c r="E109" s="16" t="s">
        <v>308</v>
      </c>
      <c r="F109" s="14"/>
    </row>
    <row r="110" spans="1:6" ht="20.100000000000001" customHeight="1" x14ac:dyDescent="0.2">
      <c r="A110" s="37"/>
      <c r="B110" s="14">
        <v>1</v>
      </c>
      <c r="C110" s="15" t="s">
        <v>305</v>
      </c>
      <c r="D110" s="15"/>
      <c r="E110" s="16" t="s">
        <v>309</v>
      </c>
      <c r="F110" s="14"/>
    </row>
    <row r="111" spans="1:6" ht="20.100000000000001" customHeight="1" x14ac:dyDescent="0.2">
      <c r="A111" s="37"/>
      <c r="B111" s="14">
        <v>2</v>
      </c>
      <c r="C111" s="15" t="s">
        <v>306</v>
      </c>
      <c r="D111" s="15"/>
      <c r="E111" s="16" t="s">
        <v>310</v>
      </c>
      <c r="F111" s="14"/>
    </row>
    <row r="112" spans="1:6" ht="20.100000000000001" customHeight="1" x14ac:dyDescent="0.2">
      <c r="A112" s="37"/>
      <c r="B112" s="14">
        <v>3</v>
      </c>
      <c r="C112" s="15" t="s">
        <v>307</v>
      </c>
      <c r="D112" s="15"/>
      <c r="E112" s="16" t="s">
        <v>311</v>
      </c>
      <c r="F112" s="14"/>
    </row>
    <row r="113" spans="1:6" ht="20.100000000000001" customHeight="1" x14ac:dyDescent="0.2">
      <c r="A113" s="37"/>
      <c r="B113" s="14">
        <v>4</v>
      </c>
      <c r="C113" s="15" t="s">
        <v>320</v>
      </c>
      <c r="D113" s="15"/>
      <c r="E113" s="16" t="s">
        <v>312</v>
      </c>
      <c r="F113" s="14"/>
    </row>
    <row r="114" spans="1:6" ht="20.100000000000001" customHeight="1" x14ac:dyDescent="0.2">
      <c r="A114" s="37"/>
      <c r="B114" s="14">
        <v>5</v>
      </c>
      <c r="C114" s="15" t="s">
        <v>321</v>
      </c>
      <c r="D114" s="15"/>
      <c r="E114" s="16" t="s">
        <v>313</v>
      </c>
      <c r="F114" s="14"/>
    </row>
    <row r="115" spans="1:6" ht="20.100000000000001" customHeight="1" x14ac:dyDescent="0.2">
      <c r="A115" s="37"/>
      <c r="B115" s="14">
        <v>6</v>
      </c>
      <c r="C115" s="15" t="s">
        <v>322</v>
      </c>
      <c r="D115" s="15"/>
      <c r="E115" s="16" t="s">
        <v>314</v>
      </c>
      <c r="F115" s="14"/>
    </row>
    <row r="116" spans="1:6" ht="20.100000000000001" customHeight="1" x14ac:dyDescent="0.2">
      <c r="A116" s="37"/>
      <c r="B116" s="14">
        <v>7</v>
      </c>
      <c r="C116" s="15" t="s">
        <v>323</v>
      </c>
      <c r="D116" s="15"/>
      <c r="E116" s="16" t="s">
        <v>315</v>
      </c>
      <c r="F116" s="14"/>
    </row>
    <row r="117" spans="1:6" ht="20.100000000000001" customHeight="1" x14ac:dyDescent="0.2">
      <c r="A117" s="37"/>
      <c r="B117" s="14">
        <v>8</v>
      </c>
      <c r="C117" s="15" t="s">
        <v>324</v>
      </c>
      <c r="D117" s="15"/>
      <c r="E117" s="16" t="s">
        <v>316</v>
      </c>
      <c r="F117" s="14"/>
    </row>
    <row r="118" spans="1:6" ht="20.100000000000001" customHeight="1" x14ac:dyDescent="0.2">
      <c r="A118" s="37"/>
      <c r="B118" s="14">
        <v>9</v>
      </c>
      <c r="C118" s="15" t="s">
        <v>325</v>
      </c>
      <c r="D118" s="15"/>
      <c r="E118" s="16" t="s">
        <v>317</v>
      </c>
      <c r="F118" s="14"/>
    </row>
    <row r="119" spans="1:6" ht="20.100000000000001" customHeight="1" x14ac:dyDescent="0.2">
      <c r="A119" s="37"/>
      <c r="B119" s="14">
        <v>10</v>
      </c>
      <c r="C119" s="15" t="s">
        <v>326</v>
      </c>
      <c r="D119" s="15"/>
      <c r="E119" s="16" t="s">
        <v>318</v>
      </c>
      <c r="F119" s="14"/>
    </row>
    <row r="120" spans="1:6" ht="20.100000000000001" customHeight="1" x14ac:dyDescent="0.2">
      <c r="A120" s="37"/>
      <c r="B120" s="14">
        <v>11</v>
      </c>
      <c r="C120" s="15" t="s">
        <v>327</v>
      </c>
      <c r="D120" s="15"/>
      <c r="E120" s="16" t="s">
        <v>319</v>
      </c>
      <c r="F120" s="14"/>
    </row>
    <row r="121" spans="1:6" ht="20.100000000000001" customHeight="1" x14ac:dyDescent="0.2">
      <c r="A121" s="37"/>
      <c r="B121" s="14">
        <v>12</v>
      </c>
      <c r="C121" s="15" t="s">
        <v>328</v>
      </c>
      <c r="D121" s="15"/>
      <c r="E121" s="16" t="s">
        <v>787</v>
      </c>
      <c r="F121" s="14"/>
    </row>
    <row r="122" spans="1:6" ht="20.100000000000001" customHeight="1" x14ac:dyDescent="0.2">
      <c r="A122" s="37"/>
      <c r="B122" s="14">
        <v>13</v>
      </c>
      <c r="C122" s="15" t="s">
        <v>329</v>
      </c>
      <c r="D122" s="15"/>
      <c r="E122" s="16" t="s">
        <v>788</v>
      </c>
      <c r="F122" s="14"/>
    </row>
    <row r="123" spans="1:6" ht="20.100000000000001" customHeight="1" x14ac:dyDescent="0.2">
      <c r="A123" s="37"/>
      <c r="B123" s="14">
        <v>14</v>
      </c>
      <c r="C123" s="15" t="s">
        <v>330</v>
      </c>
      <c r="D123" s="15"/>
      <c r="E123" s="16" t="s">
        <v>790</v>
      </c>
      <c r="F123" s="14"/>
    </row>
    <row r="124" spans="1:6" ht="20.100000000000001" customHeight="1" x14ac:dyDescent="0.2">
      <c r="A124" s="37"/>
      <c r="B124" s="14">
        <v>15</v>
      </c>
      <c r="C124" s="15" t="s">
        <v>331</v>
      </c>
      <c r="D124" s="15"/>
      <c r="E124" s="16" t="s">
        <v>789</v>
      </c>
      <c r="F124" s="14"/>
    </row>
    <row r="125" spans="1:6" ht="20.100000000000001" customHeight="1" x14ac:dyDescent="0.2">
      <c r="A125" s="37"/>
      <c r="B125" s="14">
        <v>16</v>
      </c>
      <c r="C125" s="15" t="s">
        <v>640</v>
      </c>
      <c r="D125" s="15"/>
      <c r="E125" s="16" t="s">
        <v>845</v>
      </c>
      <c r="F125" s="14"/>
    </row>
    <row r="126" spans="1:6" ht="20.100000000000001" customHeight="1" x14ac:dyDescent="0.2">
      <c r="A126" s="37"/>
      <c r="B126" s="14">
        <v>17</v>
      </c>
      <c r="C126" s="15" t="s">
        <v>641</v>
      </c>
      <c r="D126" s="15"/>
      <c r="E126" s="16" t="s">
        <v>846</v>
      </c>
      <c r="F126" s="14"/>
    </row>
    <row r="127" spans="1:6" ht="20.100000000000001" customHeight="1" x14ac:dyDescent="0.2">
      <c r="A127" s="37"/>
      <c r="B127" s="14">
        <v>18</v>
      </c>
      <c r="C127" s="15" t="s">
        <v>642</v>
      </c>
      <c r="D127" s="15"/>
      <c r="E127" s="16" t="s">
        <v>844</v>
      </c>
      <c r="F127" s="14"/>
    </row>
    <row r="128" spans="1:6" ht="20.100000000000001" customHeight="1" x14ac:dyDescent="0.2">
      <c r="A128" s="37"/>
      <c r="B128" s="14">
        <v>19</v>
      </c>
      <c r="C128" s="15" t="s">
        <v>643</v>
      </c>
      <c r="D128" s="15"/>
      <c r="E128" s="16"/>
      <c r="F128" s="14"/>
    </row>
    <row r="129" spans="1:7" ht="20.100000000000001" customHeight="1" x14ac:dyDescent="0.2">
      <c r="A129" s="37" t="s">
        <v>657</v>
      </c>
      <c r="B129" s="14">
        <v>0</v>
      </c>
      <c r="C129" s="15" t="s">
        <v>644</v>
      </c>
      <c r="D129" s="15"/>
      <c r="E129" s="17" t="s">
        <v>694</v>
      </c>
      <c r="F129" s="14" t="s">
        <v>670</v>
      </c>
    </row>
    <row r="130" spans="1:7" ht="20.100000000000001" customHeight="1" x14ac:dyDescent="0.2">
      <c r="A130" s="37"/>
      <c r="B130" s="14">
        <v>1</v>
      </c>
      <c r="C130" s="15" t="s">
        <v>645</v>
      </c>
      <c r="D130" s="15"/>
      <c r="E130" s="17" t="s">
        <v>695</v>
      </c>
      <c r="F130" s="14" t="s">
        <v>671</v>
      </c>
    </row>
    <row r="131" spans="1:7" ht="20.100000000000001" customHeight="1" x14ac:dyDescent="0.2">
      <c r="A131" s="37"/>
      <c r="B131" s="14">
        <v>2</v>
      </c>
      <c r="C131" s="15" t="s">
        <v>646</v>
      </c>
      <c r="D131" s="15"/>
      <c r="E131" s="17" t="s">
        <v>696</v>
      </c>
      <c r="F131" s="14" t="s">
        <v>672</v>
      </c>
    </row>
    <row r="132" spans="1:7" ht="20.100000000000001" customHeight="1" x14ac:dyDescent="0.2">
      <c r="A132" s="37"/>
      <c r="B132" s="14">
        <v>3</v>
      </c>
      <c r="C132" s="15" t="s">
        <v>647</v>
      </c>
      <c r="D132" s="15"/>
      <c r="E132" s="17" t="s">
        <v>697</v>
      </c>
      <c r="F132" s="14" t="s">
        <v>673</v>
      </c>
    </row>
    <row r="133" spans="1:7" ht="20.100000000000001" customHeight="1" x14ac:dyDescent="0.2">
      <c r="A133" s="37"/>
      <c r="B133" s="14">
        <v>4</v>
      </c>
      <c r="C133" s="15" t="s">
        <v>648</v>
      </c>
      <c r="D133" s="15"/>
      <c r="E133" s="17" t="s">
        <v>698</v>
      </c>
      <c r="F133" s="14" t="s">
        <v>674</v>
      </c>
    </row>
    <row r="134" spans="1:7" ht="20.100000000000001" customHeight="1" x14ac:dyDescent="0.2">
      <c r="A134" s="37"/>
      <c r="B134" s="14">
        <v>5</v>
      </c>
      <c r="C134" s="15" t="s">
        <v>649</v>
      </c>
      <c r="D134" s="15"/>
      <c r="E134" s="17" t="s">
        <v>699</v>
      </c>
      <c r="F134" s="14" t="s">
        <v>675</v>
      </c>
    </row>
    <row r="135" spans="1:7" ht="20.100000000000001" customHeight="1" x14ac:dyDescent="0.2">
      <c r="A135" s="37"/>
      <c r="B135" s="14">
        <v>6</v>
      </c>
      <c r="C135" s="15" t="s">
        <v>650</v>
      </c>
      <c r="D135" s="15"/>
      <c r="E135" s="17" t="s">
        <v>700</v>
      </c>
      <c r="F135" s="14" t="s">
        <v>676</v>
      </c>
    </row>
    <row r="136" spans="1:7" ht="20.100000000000001" customHeight="1" x14ac:dyDescent="0.2">
      <c r="A136" s="37"/>
      <c r="B136" s="14">
        <v>7</v>
      </c>
      <c r="C136" s="15" t="s">
        <v>651</v>
      </c>
      <c r="D136" s="15"/>
      <c r="E136" s="17" t="s">
        <v>701</v>
      </c>
      <c r="F136" s="14" t="s">
        <v>677</v>
      </c>
    </row>
    <row r="137" spans="1:7" ht="20.100000000000001" customHeight="1" x14ac:dyDescent="0.2">
      <c r="A137" s="37"/>
      <c r="B137" s="14">
        <v>8</v>
      </c>
      <c r="C137" s="15" t="s">
        <v>652</v>
      </c>
      <c r="D137" s="15"/>
      <c r="E137" s="17" t="s">
        <v>702</v>
      </c>
      <c r="F137" s="14" t="s">
        <v>678</v>
      </c>
    </row>
    <row r="138" spans="1:7" ht="20.100000000000001" customHeight="1" x14ac:dyDescent="0.2">
      <c r="A138" s="37"/>
      <c r="B138" s="14">
        <v>9</v>
      </c>
      <c r="C138" s="15" t="s">
        <v>653</v>
      </c>
      <c r="D138" s="15"/>
      <c r="E138" s="17" t="s">
        <v>703</v>
      </c>
      <c r="F138" s="14" t="s">
        <v>679</v>
      </c>
    </row>
    <row r="139" spans="1:7" ht="20.100000000000001" customHeight="1" x14ac:dyDescent="0.2">
      <c r="A139" s="37"/>
      <c r="B139" s="14">
        <v>10</v>
      </c>
      <c r="C139" s="15" t="s">
        <v>654</v>
      </c>
      <c r="D139" s="15"/>
      <c r="E139" s="17" t="s">
        <v>704</v>
      </c>
      <c r="F139" s="14" t="s">
        <v>680</v>
      </c>
    </row>
    <row r="140" spans="1:7" ht="20.100000000000001" customHeight="1" x14ac:dyDescent="0.2">
      <c r="A140" s="37"/>
      <c r="B140" s="14">
        <v>11</v>
      </c>
      <c r="C140" s="15" t="s">
        <v>655</v>
      </c>
      <c r="D140" s="15"/>
      <c r="E140" s="17" t="s">
        <v>705</v>
      </c>
      <c r="F140" s="14" t="s">
        <v>692</v>
      </c>
    </row>
    <row r="141" spans="1:7" ht="20.100000000000001" customHeight="1" x14ac:dyDescent="0.2">
      <c r="A141" s="37"/>
      <c r="B141" s="14">
        <v>12</v>
      </c>
      <c r="C141" s="15" t="s">
        <v>656</v>
      </c>
      <c r="D141" s="15"/>
      <c r="E141" s="17" t="s">
        <v>706</v>
      </c>
      <c r="F141" s="14" t="s">
        <v>693</v>
      </c>
    </row>
    <row r="142" spans="1:7" ht="20.100000000000001" customHeight="1" x14ac:dyDescent="0.2">
      <c r="A142" s="38" t="s">
        <v>658</v>
      </c>
      <c r="B142" s="14">
        <v>0</v>
      </c>
      <c r="C142" s="15" t="s">
        <v>659</v>
      </c>
      <c r="D142" s="15"/>
      <c r="E142" s="16"/>
      <c r="F142" s="14" t="s">
        <v>681</v>
      </c>
      <c r="G142" s="7" t="s">
        <v>876</v>
      </c>
    </row>
    <row r="143" spans="1:7" ht="20.100000000000001" customHeight="1" x14ac:dyDescent="0.2">
      <c r="A143" s="39"/>
      <c r="B143" s="14">
        <v>1</v>
      </c>
      <c r="C143" s="15" t="s">
        <v>660</v>
      </c>
      <c r="D143" s="15"/>
      <c r="E143" s="16"/>
      <c r="F143" s="14" t="s">
        <v>682</v>
      </c>
      <c r="G143" s="34" t="s">
        <v>918</v>
      </c>
    </row>
    <row r="144" spans="1:7" ht="20.100000000000001" customHeight="1" x14ac:dyDescent="0.2">
      <c r="A144" s="39"/>
      <c r="B144" s="14">
        <v>2</v>
      </c>
      <c r="C144" s="15" t="s">
        <v>661</v>
      </c>
      <c r="D144" s="15"/>
      <c r="E144" s="16"/>
      <c r="F144" s="14" t="s">
        <v>683</v>
      </c>
      <c r="G144" s="34"/>
    </row>
    <row r="145" spans="1:7" ht="20.100000000000001" customHeight="1" x14ac:dyDescent="0.2">
      <c r="A145" s="39"/>
      <c r="B145" s="14">
        <v>3</v>
      </c>
      <c r="C145" s="15" t="s">
        <v>662</v>
      </c>
      <c r="D145" s="15"/>
      <c r="E145" s="16"/>
      <c r="F145" s="14" t="s">
        <v>684</v>
      </c>
      <c r="G145" s="34" t="s">
        <v>919</v>
      </c>
    </row>
    <row r="146" spans="1:7" ht="20.100000000000001" customHeight="1" x14ac:dyDescent="0.2">
      <c r="A146" s="39"/>
      <c r="B146" s="14">
        <v>4</v>
      </c>
      <c r="C146" s="15" t="s">
        <v>663</v>
      </c>
      <c r="D146" s="15"/>
      <c r="E146" s="16"/>
      <c r="F146" s="14" t="s">
        <v>685</v>
      </c>
      <c r="G146" s="34"/>
    </row>
    <row r="147" spans="1:7" ht="20.100000000000001" customHeight="1" x14ac:dyDescent="0.2">
      <c r="A147" s="39"/>
      <c r="B147" s="14">
        <v>5</v>
      </c>
      <c r="C147" s="15" t="s">
        <v>664</v>
      </c>
      <c r="D147" s="15"/>
      <c r="E147" s="16"/>
      <c r="F147" s="14" t="s">
        <v>686</v>
      </c>
      <c r="G147" s="24" t="s">
        <v>730</v>
      </c>
    </row>
    <row r="148" spans="1:7" ht="20.100000000000001" customHeight="1" x14ac:dyDescent="0.2">
      <c r="A148" s="39"/>
      <c r="B148" s="14">
        <v>6</v>
      </c>
      <c r="C148" s="15" t="s">
        <v>665</v>
      </c>
      <c r="D148" s="15"/>
      <c r="E148" s="16"/>
      <c r="F148" s="14" t="s">
        <v>687</v>
      </c>
      <c r="G148" s="24" t="s">
        <v>733</v>
      </c>
    </row>
    <row r="149" spans="1:7" ht="20.100000000000001" customHeight="1" x14ac:dyDescent="0.2">
      <c r="A149" s="39"/>
      <c r="B149" s="14">
        <v>7</v>
      </c>
      <c r="C149" s="15" t="s">
        <v>666</v>
      </c>
      <c r="D149" s="15"/>
      <c r="E149" s="16"/>
      <c r="F149" s="14" t="s">
        <v>688</v>
      </c>
      <c r="G149" s="34" t="s">
        <v>920</v>
      </c>
    </row>
    <row r="150" spans="1:7" ht="20.100000000000001" customHeight="1" x14ac:dyDescent="0.2">
      <c r="A150" s="39"/>
      <c r="B150" s="14">
        <v>8</v>
      </c>
      <c r="C150" s="15" t="s">
        <v>667</v>
      </c>
      <c r="D150" s="15"/>
      <c r="E150" s="16"/>
      <c r="F150" s="14" t="s">
        <v>689</v>
      </c>
      <c r="G150" s="34"/>
    </row>
    <row r="151" spans="1:7" ht="20.100000000000001" customHeight="1" x14ac:dyDescent="0.2">
      <c r="A151" s="39"/>
      <c r="B151" s="14">
        <v>9</v>
      </c>
      <c r="C151" s="15" t="s">
        <v>668</v>
      </c>
      <c r="D151" s="15"/>
      <c r="E151" s="16"/>
      <c r="F151" s="14" t="s">
        <v>690</v>
      </c>
      <c r="G151" s="34" t="s">
        <v>922</v>
      </c>
    </row>
    <row r="152" spans="1:7" ht="20.100000000000001" customHeight="1" x14ac:dyDescent="0.2">
      <c r="A152" s="39"/>
      <c r="B152" s="14">
        <v>10</v>
      </c>
      <c r="C152" s="15" t="s">
        <v>669</v>
      </c>
      <c r="D152" s="15"/>
      <c r="E152" s="16"/>
      <c r="F152" s="14" t="s">
        <v>691</v>
      </c>
      <c r="G152" s="34"/>
    </row>
    <row r="153" spans="1:7" ht="20.100000000000001" customHeight="1" x14ac:dyDescent="0.2">
      <c r="A153" s="39"/>
      <c r="B153" s="14">
        <v>11</v>
      </c>
      <c r="C153" s="15" t="s">
        <v>965</v>
      </c>
      <c r="D153" s="15"/>
      <c r="E153" s="16"/>
      <c r="F153" s="14" t="s">
        <v>1077</v>
      </c>
      <c r="G153" s="24" t="s">
        <v>725</v>
      </c>
    </row>
    <row r="154" spans="1:7" ht="20.100000000000001" customHeight="1" x14ac:dyDescent="0.2">
      <c r="A154" s="40"/>
      <c r="B154" s="14">
        <v>12</v>
      </c>
      <c r="C154" s="15" t="s">
        <v>966</v>
      </c>
      <c r="D154" s="15"/>
      <c r="E154" s="16"/>
      <c r="F154" s="14" t="s">
        <v>1078</v>
      </c>
      <c r="G154" s="25" t="s">
        <v>1079</v>
      </c>
    </row>
    <row r="155" spans="1:7" ht="20.100000000000001" customHeight="1" x14ac:dyDescent="0.2">
      <c r="A155" s="37" t="s">
        <v>338</v>
      </c>
      <c r="B155" s="14">
        <v>0</v>
      </c>
      <c r="C155" s="15" t="s">
        <v>265</v>
      </c>
      <c r="D155" s="15"/>
      <c r="E155" s="16" t="s">
        <v>251</v>
      </c>
      <c r="F155" s="14"/>
    </row>
    <row r="156" spans="1:7" ht="20.100000000000001" customHeight="1" x14ac:dyDescent="0.2">
      <c r="A156" s="37"/>
      <c r="B156" s="14">
        <v>1</v>
      </c>
      <c r="C156" s="15" t="s">
        <v>266</v>
      </c>
      <c r="D156" s="15"/>
      <c r="E156" s="16" t="s">
        <v>252</v>
      </c>
      <c r="F156" s="14"/>
    </row>
    <row r="157" spans="1:7" ht="20.100000000000001" customHeight="1" x14ac:dyDescent="0.2">
      <c r="A157" s="37"/>
      <c r="B157" s="14">
        <v>2</v>
      </c>
      <c r="C157" s="15" t="s">
        <v>267</v>
      </c>
      <c r="D157" s="15"/>
      <c r="E157" s="16" t="s">
        <v>253</v>
      </c>
      <c r="F157" s="14"/>
    </row>
    <row r="158" spans="1:7" ht="20.100000000000001" customHeight="1" x14ac:dyDescent="0.2">
      <c r="A158" s="37"/>
      <c r="B158" s="14">
        <v>3</v>
      </c>
      <c r="C158" s="15" t="s">
        <v>268</v>
      </c>
      <c r="D158" s="15"/>
      <c r="E158" s="16" t="s">
        <v>254</v>
      </c>
      <c r="F158" s="14"/>
    </row>
    <row r="159" spans="1:7" ht="20.100000000000001" customHeight="1" x14ac:dyDescent="0.2">
      <c r="A159" s="37"/>
      <c r="B159" s="14">
        <v>4</v>
      </c>
      <c r="C159" s="15" t="s">
        <v>269</v>
      </c>
      <c r="D159" s="15"/>
      <c r="E159" s="16" t="s">
        <v>255</v>
      </c>
      <c r="F159" s="14"/>
    </row>
    <row r="160" spans="1:7" ht="20.100000000000001" customHeight="1" x14ac:dyDescent="0.2">
      <c r="A160" s="37"/>
      <c r="B160" s="14">
        <v>5</v>
      </c>
      <c r="C160" s="15" t="s">
        <v>270</v>
      </c>
      <c r="D160" s="15"/>
      <c r="E160" s="16" t="s">
        <v>256</v>
      </c>
      <c r="F160" s="14"/>
    </row>
    <row r="161" spans="1:6" ht="20.100000000000001" customHeight="1" x14ac:dyDescent="0.2">
      <c r="A161" s="37"/>
      <c r="B161" s="14">
        <v>6</v>
      </c>
      <c r="C161" s="15" t="s">
        <v>271</v>
      </c>
      <c r="D161" s="15"/>
      <c r="E161" s="16" t="s">
        <v>257</v>
      </c>
      <c r="F161" s="14"/>
    </row>
    <row r="162" spans="1:6" ht="20.100000000000001" customHeight="1" x14ac:dyDescent="0.2">
      <c r="A162" s="37"/>
      <c r="B162" s="14">
        <v>7</v>
      </c>
      <c r="C162" s="15" t="s">
        <v>272</v>
      </c>
      <c r="D162" s="15"/>
      <c r="E162" s="16" t="s">
        <v>258</v>
      </c>
      <c r="F162" s="14"/>
    </row>
    <row r="163" spans="1:6" ht="20.100000000000001" customHeight="1" x14ac:dyDescent="0.2">
      <c r="A163" s="37"/>
      <c r="B163" s="14">
        <v>8</v>
      </c>
      <c r="C163" s="15" t="s">
        <v>273</v>
      </c>
      <c r="D163" s="15"/>
      <c r="E163" s="16" t="s">
        <v>259</v>
      </c>
      <c r="F163" s="14"/>
    </row>
    <row r="164" spans="1:6" ht="20.100000000000001" customHeight="1" x14ac:dyDescent="0.2">
      <c r="A164" s="37"/>
      <c r="B164" s="14">
        <v>9</v>
      </c>
      <c r="C164" s="15" t="s">
        <v>274</v>
      </c>
      <c r="D164" s="15"/>
      <c r="E164" s="16" t="s">
        <v>260</v>
      </c>
      <c r="F164" s="14"/>
    </row>
    <row r="165" spans="1:6" ht="20.100000000000001" customHeight="1" x14ac:dyDescent="0.2">
      <c r="A165" s="37"/>
      <c r="B165" s="14">
        <v>10</v>
      </c>
      <c r="C165" s="15" t="s">
        <v>275</v>
      </c>
      <c r="D165" s="15"/>
      <c r="E165" s="16" t="s">
        <v>261</v>
      </c>
      <c r="F165" s="14"/>
    </row>
    <row r="166" spans="1:6" ht="20.100000000000001" customHeight="1" x14ac:dyDescent="0.2">
      <c r="A166" s="37"/>
      <c r="B166" s="14">
        <v>11</v>
      </c>
      <c r="C166" s="15" t="s">
        <v>276</v>
      </c>
      <c r="D166" s="15"/>
      <c r="E166" s="16" t="s">
        <v>262</v>
      </c>
      <c r="F166" s="14"/>
    </row>
    <row r="167" spans="1:6" ht="20.100000000000001" customHeight="1" x14ac:dyDescent="0.2">
      <c r="A167" s="37"/>
      <c r="B167" s="14">
        <v>12</v>
      </c>
      <c r="C167" s="15" t="s">
        <v>277</v>
      </c>
      <c r="D167" s="15"/>
      <c r="E167" s="16" t="s">
        <v>806</v>
      </c>
      <c r="F167" s="16"/>
    </row>
    <row r="168" spans="1:6" ht="20.100000000000001" customHeight="1" x14ac:dyDescent="0.2">
      <c r="A168" s="37"/>
      <c r="B168" s="14">
        <v>13</v>
      </c>
      <c r="C168" s="15" t="s">
        <v>278</v>
      </c>
      <c r="D168" s="15"/>
      <c r="E168" s="16" t="s">
        <v>852</v>
      </c>
      <c r="F168" s="16"/>
    </row>
    <row r="169" spans="1:6" ht="20.100000000000001" customHeight="1" x14ac:dyDescent="0.2">
      <c r="A169" s="37"/>
      <c r="B169" s="14">
        <v>14</v>
      </c>
      <c r="C169" s="15" t="s">
        <v>279</v>
      </c>
      <c r="D169" s="15"/>
      <c r="E169" s="16" t="s">
        <v>807</v>
      </c>
      <c r="F169" s="16"/>
    </row>
    <row r="170" spans="1:6" ht="20.100000000000001" customHeight="1" x14ac:dyDescent="0.2">
      <c r="A170" s="37"/>
      <c r="B170" s="14">
        <v>15</v>
      </c>
      <c r="C170" s="15" t="s">
        <v>280</v>
      </c>
      <c r="D170" s="15"/>
      <c r="E170" s="16" t="s">
        <v>808</v>
      </c>
      <c r="F170" s="16"/>
    </row>
    <row r="171" spans="1:6" ht="20.100000000000001" customHeight="1" x14ac:dyDescent="0.2">
      <c r="A171" s="37"/>
      <c r="B171" s="14">
        <v>16</v>
      </c>
      <c r="C171" s="15" t="s">
        <v>281</v>
      </c>
      <c r="D171" s="15"/>
      <c r="E171" s="16" t="s">
        <v>809</v>
      </c>
      <c r="F171" s="16"/>
    </row>
    <row r="172" spans="1:6" ht="20.100000000000001" customHeight="1" x14ac:dyDescent="0.2">
      <c r="A172" s="37"/>
      <c r="B172" s="14">
        <v>17</v>
      </c>
      <c r="C172" s="15" t="s">
        <v>282</v>
      </c>
      <c r="D172" s="15"/>
      <c r="E172" s="16" t="s">
        <v>850</v>
      </c>
      <c r="F172" s="16"/>
    </row>
    <row r="173" spans="1:6" ht="20.100000000000001" customHeight="1" x14ac:dyDescent="0.2">
      <c r="A173" s="37"/>
      <c r="B173" s="14">
        <v>18</v>
      </c>
      <c r="C173" s="15" t="s">
        <v>283</v>
      </c>
      <c r="D173" s="15"/>
      <c r="E173" s="16" t="s">
        <v>851</v>
      </c>
      <c r="F173" s="14"/>
    </row>
    <row r="174" spans="1:6" ht="20.100000000000001" customHeight="1" x14ac:dyDescent="0.2">
      <c r="A174" s="37" t="s">
        <v>263</v>
      </c>
      <c r="B174" s="14">
        <v>0</v>
      </c>
      <c r="C174" s="15" t="s">
        <v>859</v>
      </c>
      <c r="D174" s="15"/>
      <c r="E174" s="16" t="s">
        <v>227</v>
      </c>
      <c r="F174" s="14"/>
    </row>
    <row r="175" spans="1:6" ht="20.100000000000001" customHeight="1" x14ac:dyDescent="0.2">
      <c r="A175" s="37"/>
      <c r="B175" s="14">
        <v>1</v>
      </c>
      <c r="C175" s="15" t="s">
        <v>284</v>
      </c>
      <c r="D175" s="15"/>
      <c r="E175" s="16" t="s">
        <v>228</v>
      </c>
      <c r="F175" s="14"/>
    </row>
    <row r="176" spans="1:6" ht="20.100000000000001" customHeight="1" x14ac:dyDescent="0.2">
      <c r="A176" s="37"/>
      <c r="B176" s="14">
        <v>2</v>
      </c>
      <c r="C176" s="15" t="s">
        <v>285</v>
      </c>
      <c r="D176" s="15"/>
      <c r="E176" s="16" t="s">
        <v>229</v>
      </c>
      <c r="F176" s="14"/>
    </row>
    <row r="177" spans="1:6" ht="20.100000000000001" customHeight="1" x14ac:dyDescent="0.2">
      <c r="A177" s="37"/>
      <c r="B177" s="14">
        <v>3</v>
      </c>
      <c r="C177" s="15" t="s">
        <v>286</v>
      </c>
      <c r="D177" s="15"/>
      <c r="E177" s="16" t="s">
        <v>230</v>
      </c>
      <c r="F177" s="14"/>
    </row>
    <row r="178" spans="1:6" ht="20.100000000000001" customHeight="1" x14ac:dyDescent="0.2">
      <c r="A178" s="37"/>
      <c r="B178" s="14">
        <v>4</v>
      </c>
      <c r="C178" s="15" t="s">
        <v>287</v>
      </c>
      <c r="D178" s="15"/>
      <c r="E178" s="16" t="s">
        <v>231</v>
      </c>
      <c r="F178" s="14"/>
    </row>
    <row r="179" spans="1:6" ht="20.100000000000001" customHeight="1" x14ac:dyDescent="0.2">
      <c r="A179" s="37"/>
      <c r="B179" s="14">
        <v>5</v>
      </c>
      <c r="C179" s="15" t="s">
        <v>288</v>
      </c>
      <c r="D179" s="15"/>
      <c r="E179" s="16" t="s">
        <v>232</v>
      </c>
      <c r="F179" s="14"/>
    </row>
    <row r="180" spans="1:6" ht="20.100000000000001" customHeight="1" x14ac:dyDescent="0.2">
      <c r="A180" s="37"/>
      <c r="B180" s="14">
        <v>6</v>
      </c>
      <c r="C180" s="15" t="s">
        <v>289</v>
      </c>
      <c r="D180" s="15"/>
      <c r="E180" s="16" t="s">
        <v>233</v>
      </c>
      <c r="F180" s="14"/>
    </row>
    <row r="181" spans="1:6" ht="20.100000000000001" customHeight="1" x14ac:dyDescent="0.2">
      <c r="A181" s="37"/>
      <c r="B181" s="14">
        <v>7</v>
      </c>
      <c r="C181" s="15" t="s">
        <v>290</v>
      </c>
      <c r="D181" s="15"/>
      <c r="E181" s="16" t="s">
        <v>234</v>
      </c>
      <c r="F181" s="14"/>
    </row>
    <row r="182" spans="1:6" ht="20.100000000000001" customHeight="1" x14ac:dyDescent="0.2">
      <c r="A182" s="37"/>
      <c r="B182" s="14">
        <v>8</v>
      </c>
      <c r="C182" s="15" t="s">
        <v>291</v>
      </c>
      <c r="D182" s="15"/>
      <c r="E182" s="16" t="s">
        <v>235</v>
      </c>
      <c r="F182" s="14"/>
    </row>
    <row r="183" spans="1:6" ht="20.100000000000001" customHeight="1" x14ac:dyDescent="0.2">
      <c r="A183" s="37"/>
      <c r="B183" s="14">
        <v>9</v>
      </c>
      <c r="C183" s="15" t="s">
        <v>292</v>
      </c>
      <c r="D183" s="15"/>
      <c r="E183" s="16" t="s">
        <v>236</v>
      </c>
      <c r="F183" s="14"/>
    </row>
    <row r="184" spans="1:6" ht="20.100000000000001" customHeight="1" x14ac:dyDescent="0.2">
      <c r="A184" s="37"/>
      <c r="B184" s="14">
        <v>10</v>
      </c>
      <c r="C184" s="15" t="s">
        <v>293</v>
      </c>
      <c r="D184" s="15"/>
      <c r="E184" s="16" t="s">
        <v>237</v>
      </c>
      <c r="F184" s="14"/>
    </row>
    <row r="185" spans="1:6" ht="20.100000000000001" customHeight="1" x14ac:dyDescent="0.2">
      <c r="A185" s="37"/>
      <c r="B185" s="14">
        <v>11</v>
      </c>
      <c r="C185" s="15" t="s">
        <v>294</v>
      </c>
      <c r="D185" s="15"/>
      <c r="E185" s="16" t="s">
        <v>238</v>
      </c>
      <c r="F185" s="14"/>
    </row>
    <row r="186" spans="1:6" ht="20.100000000000001" customHeight="1" x14ac:dyDescent="0.2">
      <c r="A186" s="37"/>
      <c r="B186" s="14">
        <v>12</v>
      </c>
      <c r="C186" s="15" t="s">
        <v>295</v>
      </c>
      <c r="D186" s="15"/>
      <c r="E186" s="16" t="s">
        <v>810</v>
      </c>
      <c r="F186" s="16"/>
    </row>
    <row r="187" spans="1:6" ht="20.100000000000001" customHeight="1" x14ac:dyDescent="0.2">
      <c r="A187" s="37"/>
      <c r="B187" s="14">
        <v>13</v>
      </c>
      <c r="C187" s="15" t="s">
        <v>296</v>
      </c>
      <c r="D187" s="15"/>
      <c r="E187" s="16" t="s">
        <v>854</v>
      </c>
      <c r="F187" s="16"/>
    </row>
    <row r="188" spans="1:6" ht="20.100000000000001" customHeight="1" x14ac:dyDescent="0.2">
      <c r="A188" s="37"/>
      <c r="B188" s="14">
        <v>14</v>
      </c>
      <c r="C188" s="15" t="s">
        <v>297</v>
      </c>
      <c r="D188" s="15"/>
      <c r="E188" s="16" t="s">
        <v>811</v>
      </c>
      <c r="F188" s="16"/>
    </row>
    <row r="189" spans="1:6" ht="20.100000000000001" customHeight="1" x14ac:dyDescent="0.2">
      <c r="A189" s="37"/>
      <c r="B189" s="14">
        <v>15</v>
      </c>
      <c r="C189" s="15" t="s">
        <v>298</v>
      </c>
      <c r="D189" s="15"/>
      <c r="E189" s="16" t="s">
        <v>812</v>
      </c>
      <c r="F189" s="16"/>
    </row>
    <row r="190" spans="1:6" ht="20.100000000000001" customHeight="1" x14ac:dyDescent="0.2">
      <c r="A190" s="37"/>
      <c r="B190" s="14">
        <v>16</v>
      </c>
      <c r="C190" s="15" t="s">
        <v>299</v>
      </c>
      <c r="D190" s="15"/>
      <c r="E190" s="16" t="s">
        <v>813</v>
      </c>
      <c r="F190" s="16"/>
    </row>
    <row r="191" spans="1:6" ht="20.100000000000001" customHeight="1" x14ac:dyDescent="0.2">
      <c r="A191" s="37"/>
      <c r="B191" s="14">
        <v>17</v>
      </c>
      <c r="C191" s="15" t="s">
        <v>300</v>
      </c>
      <c r="D191" s="15"/>
      <c r="E191" s="16" t="s">
        <v>853</v>
      </c>
      <c r="F191" s="16"/>
    </row>
    <row r="192" spans="1:6" ht="20.100000000000001" customHeight="1" x14ac:dyDescent="0.2">
      <c r="A192" s="37"/>
      <c r="B192" s="14">
        <v>18</v>
      </c>
      <c r="C192" s="15" t="s">
        <v>301</v>
      </c>
      <c r="D192" s="15"/>
      <c r="E192" s="16" t="s">
        <v>818</v>
      </c>
      <c r="F192" s="14"/>
    </row>
    <row r="193" spans="1:6" ht="20.100000000000001" customHeight="1" x14ac:dyDescent="0.2">
      <c r="A193" s="37"/>
      <c r="B193" s="14">
        <v>19</v>
      </c>
      <c r="C193" s="15" t="s">
        <v>302</v>
      </c>
      <c r="D193" s="15"/>
      <c r="E193" s="16" t="s">
        <v>557</v>
      </c>
      <c r="F193" s="14"/>
    </row>
    <row r="194" spans="1:6" ht="20.100000000000001" customHeight="1" x14ac:dyDescent="0.2">
      <c r="A194" s="37"/>
      <c r="B194" s="14">
        <v>20</v>
      </c>
      <c r="C194" s="15" t="s">
        <v>559</v>
      </c>
      <c r="D194" s="15"/>
      <c r="E194" s="16" t="s">
        <v>558</v>
      </c>
      <c r="F194" s="14"/>
    </row>
    <row r="195" spans="1:6" ht="20.100000000000001" customHeight="1" x14ac:dyDescent="0.2">
      <c r="A195" s="37" t="s">
        <v>264</v>
      </c>
      <c r="B195" s="14">
        <v>0</v>
      </c>
      <c r="C195" s="15" t="s">
        <v>860</v>
      </c>
      <c r="D195" s="15"/>
      <c r="E195" s="16" t="s">
        <v>239</v>
      </c>
      <c r="F195" s="14"/>
    </row>
    <row r="196" spans="1:6" ht="20.100000000000001" customHeight="1" x14ac:dyDescent="0.2">
      <c r="A196" s="37"/>
      <c r="B196" s="14">
        <v>1</v>
      </c>
      <c r="C196" s="15" t="s">
        <v>847</v>
      </c>
      <c r="D196" s="15"/>
      <c r="E196" s="16" t="s">
        <v>240</v>
      </c>
      <c r="F196" s="14"/>
    </row>
    <row r="197" spans="1:6" ht="20.100000000000001" customHeight="1" x14ac:dyDescent="0.2">
      <c r="A197" s="37"/>
      <c r="B197" s="14">
        <v>2</v>
      </c>
      <c r="C197" s="15" t="s">
        <v>848</v>
      </c>
      <c r="D197" s="15"/>
      <c r="E197" s="16" t="s">
        <v>241</v>
      </c>
      <c r="F197" s="14"/>
    </row>
    <row r="198" spans="1:6" ht="20.100000000000001" customHeight="1" x14ac:dyDescent="0.2">
      <c r="A198" s="37"/>
      <c r="B198" s="14">
        <v>3</v>
      </c>
      <c r="C198" s="15" t="s">
        <v>849</v>
      </c>
      <c r="D198" s="15"/>
      <c r="E198" s="16" t="s">
        <v>242</v>
      </c>
      <c r="F198" s="14"/>
    </row>
    <row r="199" spans="1:6" ht="20.100000000000001" customHeight="1" x14ac:dyDescent="0.2">
      <c r="A199" s="37"/>
      <c r="B199" s="14">
        <v>4</v>
      </c>
      <c r="C199" s="15" t="s">
        <v>856</v>
      </c>
      <c r="D199" s="15"/>
      <c r="E199" s="16" t="s">
        <v>243</v>
      </c>
      <c r="F199" s="14"/>
    </row>
    <row r="200" spans="1:6" ht="20.100000000000001" customHeight="1" x14ac:dyDescent="0.2">
      <c r="A200" s="37"/>
      <c r="B200" s="14">
        <v>5</v>
      </c>
      <c r="C200" s="15" t="s">
        <v>857</v>
      </c>
      <c r="D200" s="15"/>
      <c r="E200" s="16" t="s">
        <v>244</v>
      </c>
      <c r="F200" s="14"/>
    </row>
    <row r="201" spans="1:6" ht="20.100000000000001" customHeight="1" x14ac:dyDescent="0.2">
      <c r="A201" s="37"/>
      <c r="B201" s="14">
        <v>6</v>
      </c>
      <c r="C201" s="15" t="s">
        <v>861</v>
      </c>
      <c r="D201" s="15"/>
      <c r="E201" s="16" t="s">
        <v>245</v>
      </c>
      <c r="F201" s="14"/>
    </row>
    <row r="202" spans="1:6" ht="20.100000000000001" customHeight="1" x14ac:dyDescent="0.2">
      <c r="A202" s="37"/>
      <c r="B202" s="14">
        <v>7</v>
      </c>
      <c r="C202" s="15" t="s">
        <v>862</v>
      </c>
      <c r="D202" s="15"/>
      <c r="E202" s="16" t="s">
        <v>246</v>
      </c>
      <c r="F202" s="14"/>
    </row>
    <row r="203" spans="1:6" ht="20.100000000000001" customHeight="1" x14ac:dyDescent="0.2">
      <c r="A203" s="37"/>
      <c r="B203" s="14">
        <v>8</v>
      </c>
      <c r="C203" s="15" t="s">
        <v>863</v>
      </c>
      <c r="D203" s="15"/>
      <c r="E203" s="16" t="s">
        <v>247</v>
      </c>
      <c r="F203" s="14"/>
    </row>
    <row r="204" spans="1:6" ht="20.100000000000001" customHeight="1" x14ac:dyDescent="0.2">
      <c r="A204" s="37"/>
      <c r="B204" s="14">
        <v>9</v>
      </c>
      <c r="C204" s="15" t="s">
        <v>864</v>
      </c>
      <c r="D204" s="15"/>
      <c r="E204" s="16" t="s">
        <v>248</v>
      </c>
      <c r="F204" s="14"/>
    </row>
    <row r="205" spans="1:6" ht="20.100000000000001" customHeight="1" x14ac:dyDescent="0.2">
      <c r="A205" s="37"/>
      <c r="B205" s="14">
        <v>10</v>
      </c>
      <c r="C205" s="15" t="s">
        <v>865</v>
      </c>
      <c r="D205" s="15"/>
      <c r="E205" s="16" t="s">
        <v>249</v>
      </c>
      <c r="F205" s="14"/>
    </row>
    <row r="206" spans="1:6" ht="20.100000000000001" customHeight="1" x14ac:dyDescent="0.2">
      <c r="A206" s="37"/>
      <c r="B206" s="14">
        <v>11</v>
      </c>
      <c r="C206" s="15" t="s">
        <v>866</v>
      </c>
      <c r="D206" s="15"/>
      <c r="E206" s="16" t="s">
        <v>250</v>
      </c>
      <c r="F206" s="14"/>
    </row>
    <row r="207" spans="1:6" ht="20.100000000000001" customHeight="1" x14ac:dyDescent="0.2">
      <c r="A207" s="37"/>
      <c r="B207" s="14">
        <v>12</v>
      </c>
      <c r="C207" s="15" t="s">
        <v>867</v>
      </c>
      <c r="D207" s="15"/>
      <c r="E207" s="16" t="s">
        <v>814</v>
      </c>
      <c r="F207" s="14"/>
    </row>
    <row r="208" spans="1:6" ht="20.100000000000001" customHeight="1" x14ac:dyDescent="0.2">
      <c r="A208" s="37"/>
      <c r="B208" s="14">
        <v>13</v>
      </c>
      <c r="C208" s="15" t="s">
        <v>868</v>
      </c>
      <c r="D208" s="15"/>
      <c r="E208" s="16" t="s">
        <v>858</v>
      </c>
      <c r="F208" s="14"/>
    </row>
    <row r="209" spans="1:6" ht="20.100000000000001" customHeight="1" x14ac:dyDescent="0.2">
      <c r="A209" s="37"/>
      <c r="B209" s="14">
        <v>14</v>
      </c>
      <c r="C209" s="15" t="s">
        <v>869</v>
      </c>
      <c r="D209" s="15"/>
      <c r="E209" s="16" t="s">
        <v>815</v>
      </c>
      <c r="F209" s="14"/>
    </row>
    <row r="210" spans="1:6" ht="20.100000000000001" customHeight="1" x14ac:dyDescent="0.2">
      <c r="A210" s="37"/>
      <c r="B210" s="14">
        <v>15</v>
      </c>
      <c r="C210" s="15" t="s">
        <v>870</v>
      </c>
      <c r="D210" s="15"/>
      <c r="E210" s="16" t="s">
        <v>816</v>
      </c>
      <c r="F210" s="14"/>
    </row>
    <row r="211" spans="1:6" ht="20.100000000000001" customHeight="1" x14ac:dyDescent="0.2">
      <c r="A211" s="37"/>
      <c r="B211" s="14">
        <v>16</v>
      </c>
      <c r="C211" s="15" t="s">
        <v>871</v>
      </c>
      <c r="D211" s="15"/>
      <c r="E211" s="16" t="s">
        <v>817</v>
      </c>
      <c r="F211" s="14"/>
    </row>
    <row r="212" spans="1:6" ht="20.100000000000001" customHeight="1" x14ac:dyDescent="0.2">
      <c r="A212" s="37"/>
      <c r="B212" s="14">
        <v>17</v>
      </c>
      <c r="C212" s="15" t="s">
        <v>872</v>
      </c>
      <c r="D212" s="15"/>
      <c r="E212" s="16" t="s">
        <v>855</v>
      </c>
      <c r="F212" s="14"/>
    </row>
    <row r="213" spans="1:6" ht="20.100000000000001" customHeight="1" x14ac:dyDescent="0.2">
      <c r="A213" s="37"/>
      <c r="B213" s="14">
        <v>18</v>
      </c>
      <c r="C213" s="15" t="s">
        <v>873</v>
      </c>
      <c r="D213" s="15"/>
      <c r="E213" s="16" t="s">
        <v>819</v>
      </c>
      <c r="F213" s="14"/>
    </row>
    <row r="214" spans="1:6" ht="20.100000000000001" customHeight="1" x14ac:dyDescent="0.2">
      <c r="A214" s="37"/>
      <c r="B214" s="14">
        <v>19</v>
      </c>
      <c r="C214" s="15" t="s">
        <v>874</v>
      </c>
      <c r="D214" s="15"/>
      <c r="E214" s="16" t="s">
        <v>555</v>
      </c>
      <c r="F214" s="14"/>
    </row>
    <row r="215" spans="1:6" ht="20.100000000000001" customHeight="1" x14ac:dyDescent="0.2">
      <c r="A215" s="37"/>
      <c r="B215" s="14">
        <v>20</v>
      </c>
      <c r="C215" s="15" t="s">
        <v>875</v>
      </c>
      <c r="D215" s="15"/>
      <c r="E215" s="16" t="s">
        <v>556</v>
      </c>
      <c r="F215" s="14"/>
    </row>
    <row r="216" spans="1:6" ht="28.5" customHeight="1" x14ac:dyDescent="0.2">
      <c r="A216" s="30" t="s">
        <v>998</v>
      </c>
      <c r="B216" s="2">
        <v>0</v>
      </c>
      <c r="C216" s="1" t="s">
        <v>1001</v>
      </c>
      <c r="D216" s="1"/>
      <c r="E216" s="12" t="s">
        <v>1000</v>
      </c>
      <c r="F216" s="2"/>
    </row>
    <row r="217" spans="1:6" ht="20.100000000000001" customHeight="1" x14ac:dyDescent="0.2">
      <c r="A217" s="30"/>
      <c r="B217" s="2">
        <v>1</v>
      </c>
      <c r="C217" s="1" t="s">
        <v>1002</v>
      </c>
      <c r="D217" s="1"/>
      <c r="E217" s="3" t="s">
        <v>1067</v>
      </c>
      <c r="F217" s="1"/>
    </row>
    <row r="218" spans="1:6" ht="20.100000000000001" customHeight="1" x14ac:dyDescent="0.2">
      <c r="A218" s="30"/>
      <c r="B218" s="2">
        <v>2</v>
      </c>
      <c r="C218" s="1" t="s">
        <v>1003</v>
      </c>
      <c r="D218" s="1"/>
      <c r="E218" s="12" t="s">
        <v>485</v>
      </c>
      <c r="F218" s="1"/>
    </row>
    <row r="219" spans="1:6" ht="20.100000000000001" customHeight="1" x14ac:dyDescent="0.2">
      <c r="A219" s="30"/>
      <c r="B219" s="2">
        <v>3</v>
      </c>
      <c r="C219" s="1" t="s">
        <v>1004</v>
      </c>
      <c r="D219" s="1"/>
      <c r="E219" s="12" t="s">
        <v>432</v>
      </c>
      <c r="F219" s="1"/>
    </row>
    <row r="220" spans="1:6" ht="20.100000000000001" customHeight="1" x14ac:dyDescent="0.2">
      <c r="A220" s="30"/>
      <c r="B220" s="2">
        <v>4</v>
      </c>
      <c r="C220" s="1" t="s">
        <v>1005</v>
      </c>
      <c r="D220" s="1"/>
      <c r="E220" s="12" t="s">
        <v>425</v>
      </c>
      <c r="F220" s="1"/>
    </row>
    <row r="221" spans="1:6" ht="20.100000000000001" customHeight="1" x14ac:dyDescent="0.2">
      <c r="A221" s="30"/>
      <c r="B221" s="2">
        <v>5</v>
      </c>
      <c r="C221" s="1" t="s">
        <v>1006</v>
      </c>
      <c r="D221" s="1"/>
      <c r="E221" s="12" t="s">
        <v>424</v>
      </c>
      <c r="F221" s="1"/>
    </row>
    <row r="222" spans="1:6" ht="20.100000000000001" customHeight="1" x14ac:dyDescent="0.2">
      <c r="A222" s="30"/>
      <c r="B222" s="2">
        <v>6</v>
      </c>
      <c r="C222" s="1" t="s">
        <v>1007</v>
      </c>
      <c r="D222" s="1"/>
      <c r="E222" s="12" t="s">
        <v>426</v>
      </c>
      <c r="F222" s="1"/>
    </row>
    <row r="223" spans="1:6" ht="20.100000000000001" customHeight="1" x14ac:dyDescent="0.2">
      <c r="A223" s="30"/>
      <c r="B223" s="2">
        <v>7</v>
      </c>
      <c r="C223" s="1" t="s">
        <v>1008</v>
      </c>
      <c r="D223" s="1"/>
      <c r="E223" s="12" t="s">
        <v>427</v>
      </c>
      <c r="F223" s="1"/>
    </row>
    <row r="224" spans="1:6" ht="20.100000000000001" customHeight="1" x14ac:dyDescent="0.2">
      <c r="A224" s="30"/>
      <c r="B224" s="2">
        <v>8</v>
      </c>
      <c r="C224" s="1" t="s">
        <v>1009</v>
      </c>
      <c r="D224" s="1"/>
      <c r="E224" s="12" t="s">
        <v>428</v>
      </c>
      <c r="F224" s="1"/>
    </row>
    <row r="225" spans="1:6" ht="20.100000000000001" customHeight="1" x14ac:dyDescent="0.2">
      <c r="A225" s="30"/>
      <c r="B225" s="2">
        <v>9</v>
      </c>
      <c r="C225" s="1" t="s">
        <v>1010</v>
      </c>
      <c r="D225" s="1"/>
      <c r="E225" s="12" t="s">
        <v>429</v>
      </c>
      <c r="F225" s="1"/>
    </row>
    <row r="226" spans="1:6" ht="20.100000000000001" customHeight="1" x14ac:dyDescent="0.2">
      <c r="A226" s="30"/>
      <c r="B226" s="2">
        <v>10</v>
      </c>
      <c r="C226" s="1" t="s">
        <v>1011</v>
      </c>
      <c r="D226" s="1"/>
      <c r="E226" s="12" t="s">
        <v>1065</v>
      </c>
      <c r="F226" s="1"/>
    </row>
    <row r="227" spans="1:6" ht="20.100000000000001" customHeight="1" x14ac:dyDescent="0.2">
      <c r="A227" s="30"/>
      <c r="B227" s="2">
        <v>11</v>
      </c>
      <c r="C227" s="1" t="s">
        <v>1012</v>
      </c>
      <c r="D227" s="1"/>
      <c r="E227" s="12" t="s">
        <v>430</v>
      </c>
      <c r="F227" s="1"/>
    </row>
    <row r="228" spans="1:6" ht="20.100000000000001" customHeight="1" x14ac:dyDescent="0.2">
      <c r="A228" s="30"/>
      <c r="B228" s="2">
        <v>12</v>
      </c>
      <c r="C228" s="1" t="s">
        <v>1013</v>
      </c>
      <c r="D228" s="1"/>
      <c r="E228" s="12" t="s">
        <v>431</v>
      </c>
      <c r="F228" s="1"/>
    </row>
    <row r="229" spans="1:6" ht="20.100000000000001" customHeight="1" x14ac:dyDescent="0.2">
      <c r="A229" s="30"/>
      <c r="B229" s="2">
        <v>13</v>
      </c>
      <c r="C229" s="1" t="s">
        <v>1014</v>
      </c>
      <c r="D229" s="1"/>
      <c r="E229" s="3" t="s">
        <v>572</v>
      </c>
      <c r="F229" s="2"/>
    </row>
    <row r="230" spans="1:6" ht="20.100000000000001" customHeight="1" x14ac:dyDescent="0.2">
      <c r="A230" s="30"/>
      <c r="B230" s="2">
        <v>14</v>
      </c>
      <c r="C230" s="1" t="s">
        <v>1015</v>
      </c>
      <c r="D230" s="1"/>
      <c r="E230" s="12" t="s">
        <v>421</v>
      </c>
      <c r="F230" s="2"/>
    </row>
    <row r="231" spans="1:6" ht="20.100000000000001" customHeight="1" x14ac:dyDescent="0.2">
      <c r="A231" s="30"/>
      <c r="B231" s="2">
        <v>15</v>
      </c>
      <c r="C231" s="1" t="s">
        <v>1016</v>
      </c>
      <c r="D231" s="1"/>
      <c r="E231" s="12" t="s">
        <v>422</v>
      </c>
      <c r="F231" s="2"/>
    </row>
    <row r="232" spans="1:6" ht="20.100000000000001" customHeight="1" x14ac:dyDescent="0.2">
      <c r="A232" s="30"/>
      <c r="B232" s="2">
        <v>16</v>
      </c>
      <c r="C232" s="1" t="s">
        <v>1017</v>
      </c>
      <c r="D232" s="1"/>
      <c r="E232" s="12" t="s">
        <v>423</v>
      </c>
      <c r="F232" s="2"/>
    </row>
    <row r="233" spans="1:6" ht="20.100000000000001" customHeight="1" x14ac:dyDescent="0.2">
      <c r="A233" s="30"/>
      <c r="B233" s="2">
        <v>17</v>
      </c>
      <c r="C233" s="1" t="s">
        <v>1018</v>
      </c>
      <c r="D233" s="1"/>
      <c r="E233" s="12" t="s">
        <v>820</v>
      </c>
      <c r="F233" s="2"/>
    </row>
    <row r="234" spans="1:6" ht="20.100000000000001" customHeight="1" x14ac:dyDescent="0.2">
      <c r="A234" s="30"/>
      <c r="B234" s="2">
        <v>18</v>
      </c>
      <c r="C234" s="1" t="s">
        <v>1019</v>
      </c>
      <c r="D234" s="1"/>
      <c r="E234" s="12" t="s">
        <v>821</v>
      </c>
      <c r="F234" s="2"/>
    </row>
    <row r="235" spans="1:6" ht="20.100000000000001" customHeight="1" x14ac:dyDescent="0.2">
      <c r="A235" s="30"/>
      <c r="B235" s="2">
        <v>19</v>
      </c>
      <c r="C235" s="1" t="s">
        <v>1020</v>
      </c>
      <c r="D235" s="1"/>
      <c r="E235" s="12" t="s">
        <v>822</v>
      </c>
      <c r="F235" s="2"/>
    </row>
    <row r="236" spans="1:6" ht="20.100000000000001" customHeight="1" x14ac:dyDescent="0.2">
      <c r="A236" s="30"/>
      <c r="B236" s="2">
        <v>20</v>
      </c>
      <c r="C236" s="1" t="s">
        <v>1021</v>
      </c>
      <c r="D236" s="1"/>
      <c r="E236" s="12" t="s">
        <v>823</v>
      </c>
      <c r="F236" s="2"/>
    </row>
    <row r="237" spans="1:6" ht="20.100000000000001" customHeight="1" x14ac:dyDescent="0.2">
      <c r="A237" s="30"/>
      <c r="B237" s="2">
        <v>21</v>
      </c>
      <c r="C237" s="1" t="s">
        <v>1022</v>
      </c>
      <c r="D237" s="1"/>
      <c r="E237" s="12" t="s">
        <v>824</v>
      </c>
      <c r="F237" s="2"/>
    </row>
    <row r="238" spans="1:6" ht="20.100000000000001" customHeight="1" x14ac:dyDescent="0.2">
      <c r="A238" s="30"/>
      <c r="B238" s="2">
        <v>22</v>
      </c>
      <c r="C238" s="1" t="s">
        <v>1023</v>
      </c>
      <c r="D238" s="1"/>
      <c r="E238" s="12" t="s">
        <v>825</v>
      </c>
      <c r="F238" s="2"/>
    </row>
    <row r="239" spans="1:6" ht="20.100000000000001" customHeight="1" x14ac:dyDescent="0.2">
      <c r="A239" s="30"/>
      <c r="B239" s="2">
        <v>23</v>
      </c>
      <c r="C239" s="1" t="s">
        <v>1024</v>
      </c>
      <c r="D239" s="1"/>
      <c r="E239" s="12" t="s">
        <v>826</v>
      </c>
      <c r="F239" s="2"/>
    </row>
    <row r="240" spans="1:6" ht="20.100000000000001" customHeight="1" x14ac:dyDescent="0.2">
      <c r="A240" s="31" t="s">
        <v>923</v>
      </c>
      <c r="B240" s="2">
        <v>0</v>
      </c>
      <c r="C240" s="1" t="s">
        <v>576</v>
      </c>
      <c r="D240" s="1"/>
      <c r="E240" s="12" t="s">
        <v>1025</v>
      </c>
      <c r="F240" s="2"/>
    </row>
    <row r="241" spans="1:6" ht="20.100000000000001" customHeight="1" x14ac:dyDescent="0.2">
      <c r="A241" s="32"/>
      <c r="B241" s="2">
        <v>1</v>
      </c>
      <c r="C241" s="1" t="s">
        <v>577</v>
      </c>
      <c r="D241" s="1"/>
      <c r="E241" s="12" t="s">
        <v>914</v>
      </c>
      <c r="F241" s="2"/>
    </row>
    <row r="242" spans="1:6" ht="20.100000000000001" customHeight="1" x14ac:dyDescent="0.2">
      <c r="A242" s="32"/>
      <c r="B242" s="2">
        <v>2</v>
      </c>
      <c r="C242" s="1" t="s">
        <v>924</v>
      </c>
      <c r="D242" s="1"/>
      <c r="E242" s="12" t="s">
        <v>915</v>
      </c>
      <c r="F242" s="2"/>
    </row>
    <row r="243" spans="1:6" ht="20.100000000000001" customHeight="1" x14ac:dyDescent="0.2">
      <c r="A243" s="32"/>
      <c r="B243" s="2">
        <v>3</v>
      </c>
      <c r="C243" s="1" t="s">
        <v>925</v>
      </c>
      <c r="D243" s="1"/>
      <c r="E243" s="12" t="s">
        <v>916</v>
      </c>
      <c r="F243" s="2"/>
    </row>
    <row r="244" spans="1:6" ht="20.100000000000001" customHeight="1" x14ac:dyDescent="0.2">
      <c r="A244" s="32"/>
      <c r="B244" s="2">
        <v>4</v>
      </c>
      <c r="C244" s="1" t="s">
        <v>926</v>
      </c>
      <c r="D244" s="1"/>
      <c r="E244" s="12" t="s">
        <v>917</v>
      </c>
      <c r="F244" s="2"/>
    </row>
    <row r="245" spans="1:6" ht="20.100000000000001" customHeight="1" x14ac:dyDescent="0.2">
      <c r="A245" s="32"/>
      <c r="B245" s="2">
        <v>5</v>
      </c>
      <c r="C245" s="1" t="s">
        <v>927</v>
      </c>
      <c r="D245" s="1"/>
      <c r="E245" s="12" t="s">
        <v>876</v>
      </c>
      <c r="F245" s="2"/>
    </row>
    <row r="246" spans="1:6" ht="20.100000000000001" customHeight="1" x14ac:dyDescent="0.2">
      <c r="A246" s="32"/>
      <c r="B246" s="2">
        <v>6</v>
      </c>
      <c r="C246" s="1" t="s">
        <v>928</v>
      </c>
      <c r="D246" s="1"/>
      <c r="E246" s="35" t="s">
        <v>921</v>
      </c>
      <c r="F246" s="2"/>
    </row>
    <row r="247" spans="1:6" ht="20.100000000000001" customHeight="1" x14ac:dyDescent="0.2">
      <c r="A247" s="32"/>
      <c r="B247" s="2">
        <v>7</v>
      </c>
      <c r="C247" s="1" t="s">
        <v>929</v>
      </c>
      <c r="D247" s="1"/>
      <c r="E247" s="35"/>
      <c r="F247" s="2"/>
    </row>
    <row r="248" spans="1:6" ht="20.100000000000001" customHeight="1" x14ac:dyDescent="0.2">
      <c r="A248" s="32"/>
      <c r="B248" s="2">
        <v>8</v>
      </c>
      <c r="C248" s="1" t="s">
        <v>930</v>
      </c>
      <c r="D248" s="1"/>
      <c r="E248" s="35" t="s">
        <v>919</v>
      </c>
      <c r="F248" s="2"/>
    </row>
    <row r="249" spans="1:6" ht="20.100000000000001" customHeight="1" x14ac:dyDescent="0.2">
      <c r="A249" s="32"/>
      <c r="B249" s="2">
        <v>9</v>
      </c>
      <c r="C249" s="1" t="s">
        <v>578</v>
      </c>
      <c r="D249" s="1"/>
      <c r="E249" s="35"/>
      <c r="F249" s="2"/>
    </row>
    <row r="250" spans="1:6" ht="20.100000000000001" customHeight="1" x14ac:dyDescent="0.2">
      <c r="A250" s="32"/>
      <c r="B250" s="2">
        <v>10</v>
      </c>
      <c r="C250" s="1" t="s">
        <v>579</v>
      </c>
      <c r="D250" s="1"/>
      <c r="E250" s="12" t="s">
        <v>730</v>
      </c>
      <c r="F250" s="2"/>
    </row>
    <row r="251" spans="1:6" ht="20.100000000000001" customHeight="1" x14ac:dyDescent="0.2">
      <c r="A251" s="32"/>
      <c r="B251" s="2">
        <v>11</v>
      </c>
      <c r="C251" s="1" t="s">
        <v>580</v>
      </c>
      <c r="D251" s="1"/>
      <c r="E251" s="12" t="s">
        <v>990</v>
      </c>
      <c r="F251" s="2"/>
    </row>
    <row r="252" spans="1:6" ht="20.100000000000001" customHeight="1" x14ac:dyDescent="0.2">
      <c r="A252" s="32"/>
      <c r="B252" s="2">
        <v>12</v>
      </c>
      <c r="C252" s="1" t="s">
        <v>581</v>
      </c>
      <c r="D252" s="1"/>
      <c r="E252" s="35" t="s">
        <v>920</v>
      </c>
      <c r="F252" s="2"/>
    </row>
    <row r="253" spans="1:6" ht="20.100000000000001" customHeight="1" x14ac:dyDescent="0.2">
      <c r="A253" s="32"/>
      <c r="B253" s="2">
        <v>13</v>
      </c>
      <c r="C253" s="1" t="s">
        <v>582</v>
      </c>
      <c r="D253" s="1"/>
      <c r="E253" s="35"/>
      <c r="F253" s="2"/>
    </row>
    <row r="254" spans="1:6" ht="20.100000000000001" customHeight="1" x14ac:dyDescent="0.2">
      <c r="A254" s="32"/>
      <c r="B254" s="2">
        <v>14</v>
      </c>
      <c r="C254" s="1" t="s">
        <v>583</v>
      </c>
      <c r="D254" s="1"/>
      <c r="E254" s="35" t="s">
        <v>922</v>
      </c>
      <c r="F254" s="2"/>
    </row>
    <row r="255" spans="1:6" ht="20.100000000000001" customHeight="1" x14ac:dyDescent="0.2">
      <c r="A255" s="32"/>
      <c r="B255" s="2">
        <v>15</v>
      </c>
      <c r="C255" s="1" t="s">
        <v>584</v>
      </c>
      <c r="D255" s="1"/>
      <c r="E255" s="35"/>
      <c r="F255" s="2"/>
    </row>
    <row r="256" spans="1:6" ht="20.100000000000001" customHeight="1" x14ac:dyDescent="0.2">
      <c r="A256" s="32"/>
      <c r="B256" s="2">
        <v>16</v>
      </c>
      <c r="C256" s="1" t="s">
        <v>585</v>
      </c>
      <c r="D256" s="1"/>
      <c r="E256" s="12" t="s">
        <v>725</v>
      </c>
      <c r="F256" s="2"/>
    </row>
    <row r="257" spans="1:6" ht="20.100000000000001" customHeight="1" x14ac:dyDescent="0.2">
      <c r="A257" s="30" t="s">
        <v>1026</v>
      </c>
      <c r="B257" s="2">
        <v>0</v>
      </c>
      <c r="C257" s="1" t="s">
        <v>381</v>
      </c>
      <c r="D257" s="1">
        <f>36865+8000-4096+B257-1</f>
        <v>40768</v>
      </c>
      <c r="E257" s="3" t="s">
        <v>1027</v>
      </c>
      <c r="F257" s="1"/>
    </row>
    <row r="258" spans="1:6" ht="20.100000000000001" customHeight="1" x14ac:dyDescent="0.2">
      <c r="A258" s="30"/>
      <c r="B258" s="2">
        <v>1</v>
      </c>
      <c r="C258" s="1" t="s">
        <v>382</v>
      </c>
      <c r="D258" s="1">
        <f t="shared" ref="D258:D276" si="1">36865+8000-4096+B258-1</f>
        <v>40769</v>
      </c>
      <c r="E258" s="12" t="s">
        <v>401</v>
      </c>
      <c r="F258" s="1"/>
    </row>
    <row r="259" spans="1:6" ht="20.100000000000001" customHeight="1" x14ac:dyDescent="0.2">
      <c r="A259" s="30"/>
      <c r="B259" s="2">
        <v>2</v>
      </c>
      <c r="C259" s="1" t="s">
        <v>383</v>
      </c>
      <c r="D259" s="1">
        <f t="shared" si="1"/>
        <v>40770</v>
      </c>
      <c r="E259" s="12" t="s">
        <v>402</v>
      </c>
      <c r="F259" s="1"/>
    </row>
    <row r="260" spans="1:6" ht="20.100000000000001" customHeight="1" x14ac:dyDescent="0.2">
      <c r="A260" s="30"/>
      <c r="B260" s="2">
        <v>3</v>
      </c>
      <c r="C260" s="1" t="s">
        <v>384</v>
      </c>
      <c r="D260" s="1">
        <f t="shared" si="1"/>
        <v>40771</v>
      </c>
      <c r="E260" s="12" t="s">
        <v>403</v>
      </c>
      <c r="F260" s="1"/>
    </row>
    <row r="261" spans="1:6" ht="20.100000000000001" customHeight="1" x14ac:dyDescent="0.2">
      <c r="A261" s="30"/>
      <c r="B261" s="2">
        <v>4</v>
      </c>
      <c r="C261" s="1" t="s">
        <v>385</v>
      </c>
      <c r="D261" s="1">
        <f t="shared" si="1"/>
        <v>40772</v>
      </c>
      <c r="E261" s="12" t="s">
        <v>404</v>
      </c>
      <c r="F261" s="1"/>
    </row>
    <row r="262" spans="1:6" ht="20.100000000000001" customHeight="1" x14ac:dyDescent="0.2">
      <c r="A262" s="30"/>
      <c r="B262" s="2">
        <v>5</v>
      </c>
      <c r="C262" s="1" t="s">
        <v>386</v>
      </c>
      <c r="D262" s="1">
        <f t="shared" si="1"/>
        <v>40773</v>
      </c>
      <c r="E262" s="12" t="s">
        <v>405</v>
      </c>
      <c r="F262" s="1"/>
    </row>
    <row r="263" spans="1:6" ht="20.100000000000001" customHeight="1" x14ac:dyDescent="0.2">
      <c r="A263" s="30"/>
      <c r="B263" s="2">
        <v>6</v>
      </c>
      <c r="C263" s="1" t="s">
        <v>387</v>
      </c>
      <c r="D263" s="1">
        <f t="shared" si="1"/>
        <v>40774</v>
      </c>
      <c r="E263" s="12" t="s">
        <v>406</v>
      </c>
      <c r="F263" s="1"/>
    </row>
    <row r="264" spans="1:6" ht="20.100000000000001" customHeight="1" x14ac:dyDescent="0.2">
      <c r="A264" s="30"/>
      <c r="B264" s="2">
        <v>7</v>
      </c>
      <c r="C264" s="1" t="s">
        <v>388</v>
      </c>
      <c r="D264" s="1">
        <f t="shared" si="1"/>
        <v>40775</v>
      </c>
      <c r="E264" s="12" t="s">
        <v>407</v>
      </c>
      <c r="F264" s="1"/>
    </row>
    <row r="265" spans="1:6" ht="20.100000000000001" customHeight="1" x14ac:dyDescent="0.2">
      <c r="A265" s="30"/>
      <c r="B265" s="2">
        <v>8</v>
      </c>
      <c r="C265" s="1" t="s">
        <v>389</v>
      </c>
      <c r="D265" s="1">
        <f t="shared" si="1"/>
        <v>40776</v>
      </c>
      <c r="E265" s="12" t="s">
        <v>408</v>
      </c>
      <c r="F265" s="1"/>
    </row>
    <row r="266" spans="1:6" ht="20.100000000000001" customHeight="1" x14ac:dyDescent="0.2">
      <c r="A266" s="30"/>
      <c r="B266" s="2">
        <v>9</v>
      </c>
      <c r="C266" s="1" t="s">
        <v>390</v>
      </c>
      <c r="D266" s="1">
        <f t="shared" si="1"/>
        <v>40777</v>
      </c>
      <c r="E266" s="12" t="s">
        <v>409</v>
      </c>
      <c r="F266" s="1"/>
    </row>
    <row r="267" spans="1:6" ht="20.100000000000001" customHeight="1" x14ac:dyDescent="0.2">
      <c r="A267" s="30"/>
      <c r="B267" s="2">
        <v>10</v>
      </c>
      <c r="C267" s="1" t="s">
        <v>391</v>
      </c>
      <c r="D267" s="1">
        <f t="shared" si="1"/>
        <v>40778</v>
      </c>
      <c r="E267" s="12" t="s">
        <v>410</v>
      </c>
      <c r="F267" s="1"/>
    </row>
    <row r="268" spans="1:6" ht="20.100000000000001" customHeight="1" x14ac:dyDescent="0.2">
      <c r="A268" s="30"/>
      <c r="B268" s="2">
        <v>11</v>
      </c>
      <c r="C268" s="1" t="s">
        <v>392</v>
      </c>
      <c r="D268" s="1">
        <f t="shared" si="1"/>
        <v>40779</v>
      </c>
      <c r="E268" s="12" t="s">
        <v>411</v>
      </c>
      <c r="F268" s="1"/>
    </row>
    <row r="269" spans="1:6" ht="20.100000000000001" customHeight="1" x14ac:dyDescent="0.2">
      <c r="A269" s="30"/>
      <c r="B269" s="2">
        <v>12</v>
      </c>
      <c r="C269" s="1" t="s">
        <v>393</v>
      </c>
      <c r="D269" s="1">
        <f t="shared" si="1"/>
        <v>40780</v>
      </c>
      <c r="E269" s="12" t="s">
        <v>412</v>
      </c>
      <c r="F269" s="2"/>
    </row>
    <row r="270" spans="1:6" ht="20.100000000000001" customHeight="1" x14ac:dyDescent="0.2">
      <c r="A270" s="30"/>
      <c r="B270" s="2">
        <v>13</v>
      </c>
      <c r="C270" s="1" t="s">
        <v>394</v>
      </c>
      <c r="D270" s="1">
        <f t="shared" si="1"/>
        <v>40781</v>
      </c>
      <c r="E270" s="12" t="s">
        <v>413</v>
      </c>
      <c r="F270" s="2"/>
    </row>
    <row r="271" spans="1:6" ht="20.100000000000001" customHeight="1" x14ac:dyDescent="0.2">
      <c r="A271" s="30"/>
      <c r="B271" s="2">
        <v>14</v>
      </c>
      <c r="C271" s="1" t="s">
        <v>395</v>
      </c>
      <c r="D271" s="1">
        <f t="shared" si="1"/>
        <v>40782</v>
      </c>
      <c r="E271" s="12" t="s">
        <v>414</v>
      </c>
      <c r="F271" s="2"/>
    </row>
    <row r="272" spans="1:6" ht="20.100000000000001" customHeight="1" x14ac:dyDescent="0.2">
      <c r="A272" s="30"/>
      <c r="B272" s="2">
        <v>15</v>
      </c>
      <c r="C272" s="1" t="s">
        <v>396</v>
      </c>
      <c r="D272" s="1">
        <f t="shared" si="1"/>
        <v>40783</v>
      </c>
      <c r="E272" s="12" t="s">
        <v>415</v>
      </c>
      <c r="F272" s="2"/>
    </row>
    <row r="273" spans="1:6" ht="20.100000000000001" customHeight="1" x14ac:dyDescent="0.2">
      <c r="A273" s="30"/>
      <c r="B273" s="2">
        <v>16</v>
      </c>
      <c r="C273" s="1" t="s">
        <v>397</v>
      </c>
      <c r="D273" s="1">
        <f t="shared" si="1"/>
        <v>40784</v>
      </c>
      <c r="E273" s="12" t="s">
        <v>416</v>
      </c>
      <c r="F273" s="2"/>
    </row>
    <row r="274" spans="1:6" ht="20.100000000000001" customHeight="1" x14ac:dyDescent="0.2">
      <c r="A274" s="30"/>
      <c r="B274" s="2">
        <v>17</v>
      </c>
      <c r="C274" s="1" t="s">
        <v>398</v>
      </c>
      <c r="D274" s="1">
        <f t="shared" si="1"/>
        <v>40785</v>
      </c>
      <c r="E274" s="12" t="s">
        <v>417</v>
      </c>
      <c r="F274" s="2"/>
    </row>
    <row r="275" spans="1:6" ht="20.100000000000001" customHeight="1" x14ac:dyDescent="0.2">
      <c r="A275" s="30"/>
      <c r="B275" s="2">
        <v>18</v>
      </c>
      <c r="C275" s="1" t="s">
        <v>399</v>
      </c>
      <c r="D275" s="1">
        <f t="shared" si="1"/>
        <v>40786</v>
      </c>
      <c r="E275" s="12" t="s">
        <v>418</v>
      </c>
      <c r="F275" s="2"/>
    </row>
    <row r="276" spans="1:6" ht="20.100000000000001" customHeight="1" x14ac:dyDescent="0.2">
      <c r="A276" s="30"/>
      <c r="B276" s="2">
        <v>19</v>
      </c>
      <c r="C276" s="1" t="s">
        <v>400</v>
      </c>
      <c r="D276" s="1">
        <f t="shared" si="1"/>
        <v>40787</v>
      </c>
      <c r="E276" s="12" t="s">
        <v>419</v>
      </c>
      <c r="F276" s="2"/>
    </row>
    <row r="277" spans="1:6" ht="20.100000000000001" customHeight="1" x14ac:dyDescent="0.2">
      <c r="A277" s="36" t="s">
        <v>1054</v>
      </c>
      <c r="B277" s="2">
        <v>0</v>
      </c>
      <c r="C277" s="1" t="s">
        <v>484</v>
      </c>
      <c r="D277" s="1">
        <f>36865+8100-4096+B277-1</f>
        <v>40868</v>
      </c>
      <c r="E277" s="12" t="s">
        <v>1000</v>
      </c>
      <c r="F277" s="2"/>
    </row>
    <row r="278" spans="1:6" ht="20.100000000000001" customHeight="1" x14ac:dyDescent="0.2">
      <c r="A278" s="29"/>
      <c r="B278" s="2">
        <v>1</v>
      </c>
      <c r="C278" s="1" t="s">
        <v>486</v>
      </c>
      <c r="D278" s="1">
        <f t="shared" ref="D278:D297" si="2">36865+8100-4096+B278-1</f>
        <v>40869</v>
      </c>
      <c r="E278" s="3" t="s">
        <v>1029</v>
      </c>
      <c r="F278" s="2" t="s">
        <v>1030</v>
      </c>
    </row>
    <row r="279" spans="1:6" ht="20.100000000000001" customHeight="1" x14ac:dyDescent="0.2">
      <c r="A279" s="29"/>
      <c r="B279" s="2">
        <v>2</v>
      </c>
      <c r="C279" s="1" t="s">
        <v>487</v>
      </c>
      <c r="D279" s="1">
        <f t="shared" si="2"/>
        <v>40870</v>
      </c>
      <c r="E279" s="12" t="s">
        <v>485</v>
      </c>
      <c r="F279" s="1" t="s">
        <v>547</v>
      </c>
    </row>
    <row r="280" spans="1:6" ht="20.100000000000001" customHeight="1" x14ac:dyDescent="0.2">
      <c r="A280" s="29"/>
      <c r="B280" s="2">
        <v>3</v>
      </c>
      <c r="C280" s="1" t="s">
        <v>488</v>
      </c>
      <c r="D280" s="1">
        <f t="shared" si="2"/>
        <v>40871</v>
      </c>
      <c r="E280" s="12" t="s">
        <v>432</v>
      </c>
      <c r="F280" s="1" t="s">
        <v>548</v>
      </c>
    </row>
    <row r="281" spans="1:6" ht="20.100000000000001" customHeight="1" x14ac:dyDescent="0.2">
      <c r="A281" s="29"/>
      <c r="B281" s="2">
        <v>4</v>
      </c>
      <c r="C281" s="1" t="s">
        <v>489</v>
      </c>
      <c r="D281" s="1">
        <f t="shared" si="2"/>
        <v>40872</v>
      </c>
      <c r="E281" s="12" t="s">
        <v>425</v>
      </c>
      <c r="F281" s="1" t="s">
        <v>549</v>
      </c>
    </row>
    <row r="282" spans="1:6" ht="20.100000000000001" customHeight="1" x14ac:dyDescent="0.2">
      <c r="A282" s="29"/>
      <c r="B282" s="2">
        <v>5</v>
      </c>
      <c r="C282" s="1" t="s">
        <v>490</v>
      </c>
      <c r="D282" s="1">
        <f t="shared" si="2"/>
        <v>40873</v>
      </c>
      <c r="E282" s="12" t="s">
        <v>424</v>
      </c>
      <c r="F282" s="1" t="s">
        <v>550</v>
      </c>
    </row>
    <row r="283" spans="1:6" ht="20.100000000000001" customHeight="1" x14ac:dyDescent="0.2">
      <c r="A283" s="29"/>
      <c r="B283" s="2">
        <v>6</v>
      </c>
      <c r="C283" s="1" t="s">
        <v>491</v>
      </c>
      <c r="D283" s="1">
        <f t="shared" si="2"/>
        <v>40874</v>
      </c>
      <c r="E283" s="12" t="s">
        <v>426</v>
      </c>
      <c r="F283" s="1" t="s">
        <v>551</v>
      </c>
    </row>
    <row r="284" spans="1:6" ht="20.100000000000001" customHeight="1" x14ac:dyDescent="0.2">
      <c r="A284" s="29"/>
      <c r="B284" s="2">
        <v>7</v>
      </c>
      <c r="C284" s="1" t="s">
        <v>492</v>
      </c>
      <c r="D284" s="1">
        <f t="shared" si="2"/>
        <v>40875</v>
      </c>
      <c r="E284" s="12" t="s">
        <v>427</v>
      </c>
      <c r="F284" s="1" t="s">
        <v>552</v>
      </c>
    </row>
    <row r="285" spans="1:6" ht="20.100000000000001" customHeight="1" x14ac:dyDescent="0.2">
      <c r="A285" s="29"/>
      <c r="B285" s="2">
        <v>8</v>
      </c>
      <c r="C285" s="1" t="s">
        <v>493</v>
      </c>
      <c r="D285" s="1">
        <f t="shared" si="2"/>
        <v>40876</v>
      </c>
      <c r="E285" s="12" t="s">
        <v>428</v>
      </c>
      <c r="F285" s="1" t="s">
        <v>451</v>
      </c>
    </row>
    <row r="286" spans="1:6" ht="20.100000000000001" customHeight="1" x14ac:dyDescent="0.2">
      <c r="A286" s="29"/>
      <c r="B286" s="2">
        <v>9</v>
      </c>
      <c r="C286" s="1" t="s">
        <v>494</v>
      </c>
      <c r="D286" s="1">
        <f t="shared" si="2"/>
        <v>40877</v>
      </c>
      <c r="E286" s="12" t="s">
        <v>429</v>
      </c>
      <c r="F286" s="1" t="s">
        <v>452</v>
      </c>
    </row>
    <row r="287" spans="1:6" ht="20.100000000000001" customHeight="1" x14ac:dyDescent="0.2">
      <c r="A287" s="29"/>
      <c r="B287" s="2">
        <v>10</v>
      </c>
      <c r="C287" s="1" t="s">
        <v>495</v>
      </c>
      <c r="D287" s="1">
        <f t="shared" si="2"/>
        <v>40878</v>
      </c>
      <c r="E287" s="12" t="s">
        <v>1065</v>
      </c>
      <c r="F287" s="1" t="s">
        <v>453</v>
      </c>
    </row>
    <row r="288" spans="1:6" ht="20.100000000000001" customHeight="1" x14ac:dyDescent="0.2">
      <c r="A288" s="29"/>
      <c r="B288" s="2">
        <v>11</v>
      </c>
      <c r="C288" s="1" t="s">
        <v>496</v>
      </c>
      <c r="D288" s="1">
        <f t="shared" si="2"/>
        <v>40879</v>
      </c>
      <c r="E288" s="12" t="s">
        <v>430</v>
      </c>
      <c r="F288" s="1" t="s">
        <v>454</v>
      </c>
    </row>
    <row r="289" spans="1:6" ht="20.100000000000001" customHeight="1" x14ac:dyDescent="0.2">
      <c r="A289" s="29"/>
      <c r="B289" s="2">
        <v>12</v>
      </c>
      <c r="C289" s="1" t="s">
        <v>497</v>
      </c>
      <c r="D289" s="1">
        <f t="shared" si="2"/>
        <v>40880</v>
      </c>
      <c r="E289" s="12" t="s">
        <v>431</v>
      </c>
      <c r="F289" s="1" t="s">
        <v>455</v>
      </c>
    </row>
    <row r="290" spans="1:6" ht="20.100000000000001" customHeight="1" x14ac:dyDescent="0.2">
      <c r="A290" s="29"/>
      <c r="B290" s="2">
        <v>13</v>
      </c>
      <c r="C290" s="1" t="s">
        <v>498</v>
      </c>
      <c r="D290" s="1">
        <f t="shared" si="2"/>
        <v>40881</v>
      </c>
      <c r="E290" s="3" t="s">
        <v>572</v>
      </c>
      <c r="F290" s="1" t="s">
        <v>456</v>
      </c>
    </row>
    <row r="291" spans="1:6" ht="20.100000000000001" customHeight="1" x14ac:dyDescent="0.2">
      <c r="A291" s="29"/>
      <c r="B291" s="2">
        <v>14</v>
      </c>
      <c r="C291" s="1" t="s">
        <v>499</v>
      </c>
      <c r="D291" s="1">
        <f t="shared" si="2"/>
        <v>40882</v>
      </c>
      <c r="E291" s="12" t="s">
        <v>421</v>
      </c>
      <c r="F291" s="2"/>
    </row>
    <row r="292" spans="1:6" ht="20.100000000000001" customHeight="1" x14ac:dyDescent="0.2">
      <c r="A292" s="29"/>
      <c r="B292" s="2">
        <v>15</v>
      </c>
      <c r="C292" s="1" t="s">
        <v>500</v>
      </c>
      <c r="D292" s="1">
        <f t="shared" si="2"/>
        <v>40883</v>
      </c>
      <c r="E292" s="12" t="s">
        <v>422</v>
      </c>
      <c r="F292" s="2"/>
    </row>
    <row r="293" spans="1:6" ht="20.100000000000001" customHeight="1" x14ac:dyDescent="0.2">
      <c r="A293" s="29"/>
      <c r="B293" s="2">
        <v>16</v>
      </c>
      <c r="C293" s="1" t="s">
        <v>501</v>
      </c>
      <c r="D293" s="1">
        <f t="shared" si="2"/>
        <v>40884</v>
      </c>
      <c r="E293" s="12" t="s">
        <v>423</v>
      </c>
      <c r="F293" s="2"/>
    </row>
    <row r="294" spans="1:6" ht="20.100000000000001" customHeight="1" x14ac:dyDescent="0.2">
      <c r="A294" s="29"/>
      <c r="B294" s="2">
        <v>17</v>
      </c>
      <c r="C294" s="1" t="s">
        <v>502</v>
      </c>
      <c r="D294" s="1">
        <f t="shared" si="2"/>
        <v>40885</v>
      </c>
      <c r="E294" s="12" t="s">
        <v>820</v>
      </c>
      <c r="F294" s="2"/>
    </row>
    <row r="295" spans="1:6" ht="20.100000000000001" customHeight="1" x14ac:dyDescent="0.2">
      <c r="A295" s="29"/>
      <c r="B295" s="2">
        <v>18</v>
      </c>
      <c r="C295" s="1" t="s">
        <v>503</v>
      </c>
      <c r="D295" s="1">
        <f t="shared" si="2"/>
        <v>40886</v>
      </c>
      <c r="E295" s="12" t="s">
        <v>821</v>
      </c>
      <c r="F295" s="2"/>
    </row>
    <row r="296" spans="1:6" ht="20.100000000000001" customHeight="1" x14ac:dyDescent="0.2">
      <c r="A296" s="29"/>
      <c r="B296" s="2">
        <v>19</v>
      </c>
      <c r="C296" s="1" t="s">
        <v>504</v>
      </c>
      <c r="D296" s="1">
        <f t="shared" si="2"/>
        <v>40887</v>
      </c>
      <c r="E296" s="12" t="s">
        <v>822</v>
      </c>
      <c r="F296" s="2"/>
    </row>
    <row r="297" spans="1:6" ht="20.100000000000001" customHeight="1" x14ac:dyDescent="0.2">
      <c r="A297" s="29"/>
      <c r="B297" s="2">
        <v>20</v>
      </c>
      <c r="C297" s="1" t="s">
        <v>532</v>
      </c>
      <c r="D297" s="1">
        <f t="shared" si="2"/>
        <v>40888</v>
      </c>
      <c r="E297" s="12" t="s">
        <v>823</v>
      </c>
      <c r="F297" s="2"/>
    </row>
    <row r="298" spans="1:6" ht="20.100000000000001" customHeight="1" x14ac:dyDescent="0.2">
      <c r="A298" s="29"/>
      <c r="B298" s="2">
        <v>21</v>
      </c>
      <c r="C298" s="1" t="s">
        <v>991</v>
      </c>
      <c r="D298" s="1">
        <f t="shared" ref="D298:D299" si="3">36865+8100-4096+B298-1</f>
        <v>40889</v>
      </c>
      <c r="E298" s="12" t="s">
        <v>824</v>
      </c>
      <c r="F298" s="2"/>
    </row>
    <row r="299" spans="1:6" ht="20.100000000000001" customHeight="1" x14ac:dyDescent="0.2">
      <c r="A299" s="29"/>
      <c r="B299" s="2">
        <v>22</v>
      </c>
      <c r="C299" s="1" t="s">
        <v>992</v>
      </c>
      <c r="D299" s="1">
        <f t="shared" si="3"/>
        <v>40890</v>
      </c>
      <c r="E299" s="12" t="s">
        <v>825</v>
      </c>
      <c r="F299" s="2"/>
    </row>
    <row r="300" spans="1:6" ht="20.100000000000001" customHeight="1" x14ac:dyDescent="0.2">
      <c r="A300" s="29"/>
      <c r="B300" s="2">
        <v>23</v>
      </c>
      <c r="C300" s="1" t="s">
        <v>993</v>
      </c>
      <c r="D300" s="1">
        <f t="shared" ref="D300" si="4">36865+8100-4096+B300-1</f>
        <v>40891</v>
      </c>
      <c r="E300" s="12" t="s">
        <v>826</v>
      </c>
      <c r="F300" s="2"/>
    </row>
  </sheetData>
  <mergeCells count="27">
    <mergeCell ref="A1:F1"/>
    <mergeCell ref="A109:A128"/>
    <mergeCell ref="A129:A141"/>
    <mergeCell ref="A43:A80"/>
    <mergeCell ref="A3:A42"/>
    <mergeCell ref="E97:E98"/>
    <mergeCell ref="E99:E100"/>
    <mergeCell ref="E103:E104"/>
    <mergeCell ref="E105:E106"/>
    <mergeCell ref="A81:A92"/>
    <mergeCell ref="A155:A173"/>
    <mergeCell ref="A195:A215"/>
    <mergeCell ref="A96:A108"/>
    <mergeCell ref="A216:A239"/>
    <mergeCell ref="A142:A154"/>
    <mergeCell ref="E248:E249"/>
    <mergeCell ref="E252:E253"/>
    <mergeCell ref="E254:E255"/>
    <mergeCell ref="A277:A300"/>
    <mergeCell ref="A174:A194"/>
    <mergeCell ref="A257:A276"/>
    <mergeCell ref="A240:A256"/>
    <mergeCell ref="G143:G144"/>
    <mergeCell ref="G145:G146"/>
    <mergeCell ref="G149:G150"/>
    <mergeCell ref="G151:G152"/>
    <mergeCell ref="E246:E247"/>
  </mergeCells>
  <phoneticPr fontId="1" type="noConversion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78C1C-BC2B-4C7E-BF68-DE6A1B492A7C}">
  <dimension ref="A1:F18"/>
  <sheetViews>
    <sheetView zoomScale="115" zoomScaleNormal="115" workbookViewId="0">
      <selection activeCell="F14" sqref="C14:F15"/>
    </sheetView>
  </sheetViews>
  <sheetFormatPr defaultRowHeight="20.100000000000001" customHeight="1" x14ac:dyDescent="0.2"/>
  <cols>
    <col min="1" max="1" width="6.125" style="8" customWidth="1"/>
    <col min="2" max="2" width="4.5" style="8" bestFit="1" customWidth="1"/>
    <col min="3" max="3" width="4.5" style="7" bestFit="1" customWidth="1"/>
    <col min="4" max="5" width="8.375" style="7" customWidth="1"/>
    <col min="6" max="6" width="13.875" style="7" bestFit="1" customWidth="1"/>
    <col min="7" max="16384" width="9" style="7"/>
  </cols>
  <sheetData>
    <row r="1" spans="1:6" s="6" customFormat="1" ht="20.100000000000001" customHeight="1" x14ac:dyDescent="0.2">
      <c r="A1" s="5" t="s">
        <v>0</v>
      </c>
      <c r="B1" s="5" t="s">
        <v>1</v>
      </c>
      <c r="C1" s="5" t="s">
        <v>8</v>
      </c>
      <c r="D1" s="5" t="s">
        <v>420</v>
      </c>
      <c r="E1" s="42" t="s">
        <v>912</v>
      </c>
      <c r="F1" s="42"/>
    </row>
    <row r="2" spans="1:6" ht="20.100000000000001" customHeight="1" x14ac:dyDescent="0.2">
      <c r="A2" s="30" t="s">
        <v>380</v>
      </c>
      <c r="B2" s="2">
        <v>0</v>
      </c>
      <c r="C2" s="1" t="s">
        <v>381</v>
      </c>
      <c r="D2" s="1">
        <f>36865+8000-4096+B2-1</f>
        <v>40768</v>
      </c>
      <c r="E2" s="1" t="s">
        <v>576</v>
      </c>
      <c r="F2" s="1" t="s">
        <v>913</v>
      </c>
    </row>
    <row r="3" spans="1:6" ht="20.100000000000001" customHeight="1" x14ac:dyDescent="0.2">
      <c r="A3" s="30"/>
      <c r="B3" s="2">
        <v>1</v>
      </c>
      <c r="C3" s="1" t="s">
        <v>382</v>
      </c>
      <c r="D3" s="1">
        <f t="shared" ref="D3:D18" si="0">36865+8000-4096+B3-1</f>
        <v>40769</v>
      </c>
      <c r="E3" s="1" t="s">
        <v>577</v>
      </c>
      <c r="F3" s="1" t="s">
        <v>914</v>
      </c>
    </row>
    <row r="4" spans="1:6" ht="20.100000000000001" customHeight="1" x14ac:dyDescent="0.2">
      <c r="A4" s="30"/>
      <c r="B4" s="2">
        <v>2</v>
      </c>
      <c r="C4" s="1" t="s">
        <v>383</v>
      </c>
      <c r="D4" s="1">
        <f t="shared" si="0"/>
        <v>40770</v>
      </c>
      <c r="E4" s="1" t="s">
        <v>924</v>
      </c>
      <c r="F4" s="1" t="s">
        <v>915</v>
      </c>
    </row>
    <row r="5" spans="1:6" ht="20.100000000000001" customHeight="1" x14ac:dyDescent="0.2">
      <c r="A5" s="30"/>
      <c r="B5" s="2">
        <v>3</v>
      </c>
      <c r="C5" s="1" t="s">
        <v>384</v>
      </c>
      <c r="D5" s="1">
        <f t="shared" si="0"/>
        <v>40771</v>
      </c>
      <c r="E5" s="1" t="s">
        <v>925</v>
      </c>
      <c r="F5" s="1" t="s">
        <v>916</v>
      </c>
    </row>
    <row r="6" spans="1:6" ht="20.100000000000001" customHeight="1" x14ac:dyDescent="0.2">
      <c r="A6" s="30"/>
      <c r="B6" s="2">
        <v>4</v>
      </c>
      <c r="C6" s="1" t="s">
        <v>385</v>
      </c>
      <c r="D6" s="1">
        <f t="shared" si="0"/>
        <v>40772</v>
      </c>
      <c r="E6" s="1" t="s">
        <v>926</v>
      </c>
      <c r="F6" s="1" t="s">
        <v>917</v>
      </c>
    </row>
    <row r="7" spans="1:6" ht="20.100000000000001" customHeight="1" x14ac:dyDescent="0.2">
      <c r="A7" s="30"/>
      <c r="B7" s="2">
        <v>5</v>
      </c>
      <c r="C7" s="1" t="s">
        <v>386</v>
      </c>
      <c r="D7" s="1">
        <f t="shared" si="0"/>
        <v>40773</v>
      </c>
      <c r="E7" s="1" t="s">
        <v>927</v>
      </c>
      <c r="F7" s="1" t="s">
        <v>876</v>
      </c>
    </row>
    <row r="8" spans="1:6" ht="20.100000000000001" customHeight="1" x14ac:dyDescent="0.2">
      <c r="A8" s="30"/>
      <c r="B8" s="2">
        <v>6</v>
      </c>
      <c r="C8" s="1" t="s">
        <v>387</v>
      </c>
      <c r="D8" s="1">
        <f t="shared" si="0"/>
        <v>40774</v>
      </c>
      <c r="E8" s="1" t="s">
        <v>928</v>
      </c>
      <c r="F8" s="26" t="s">
        <v>921</v>
      </c>
    </row>
    <row r="9" spans="1:6" ht="20.100000000000001" customHeight="1" x14ac:dyDescent="0.2">
      <c r="A9" s="30"/>
      <c r="B9" s="2">
        <v>7</v>
      </c>
      <c r="C9" s="1" t="s">
        <v>388</v>
      </c>
      <c r="D9" s="1">
        <f t="shared" si="0"/>
        <v>40775</v>
      </c>
      <c r="E9" s="1" t="s">
        <v>929</v>
      </c>
      <c r="F9" s="26"/>
    </row>
    <row r="10" spans="1:6" ht="20.100000000000001" customHeight="1" x14ac:dyDescent="0.2">
      <c r="A10" s="30"/>
      <c r="B10" s="2">
        <v>8</v>
      </c>
      <c r="C10" s="1" t="s">
        <v>389</v>
      </c>
      <c r="D10" s="1">
        <f t="shared" si="0"/>
        <v>40776</v>
      </c>
      <c r="E10" s="1" t="s">
        <v>930</v>
      </c>
      <c r="F10" s="26" t="s">
        <v>919</v>
      </c>
    </row>
    <row r="11" spans="1:6" ht="19.5" customHeight="1" x14ac:dyDescent="0.2">
      <c r="A11" s="30"/>
      <c r="B11" s="2">
        <v>9</v>
      </c>
      <c r="C11" s="1" t="s">
        <v>390</v>
      </c>
      <c r="D11" s="1">
        <f t="shared" si="0"/>
        <v>40777</v>
      </c>
      <c r="E11" s="1" t="s">
        <v>578</v>
      </c>
      <c r="F11" s="26"/>
    </row>
    <row r="12" spans="1:6" ht="20.100000000000001" customHeight="1" x14ac:dyDescent="0.2">
      <c r="A12" s="30"/>
      <c r="B12" s="2">
        <v>10</v>
      </c>
      <c r="C12" s="1" t="s">
        <v>391</v>
      </c>
      <c r="D12" s="1">
        <f t="shared" si="0"/>
        <v>40778</v>
      </c>
      <c r="E12" s="1" t="s">
        <v>579</v>
      </c>
      <c r="F12" s="1" t="s">
        <v>730</v>
      </c>
    </row>
    <row r="13" spans="1:6" ht="20.100000000000001" customHeight="1" x14ac:dyDescent="0.2">
      <c r="A13" s="30"/>
      <c r="B13" s="2">
        <v>11</v>
      </c>
      <c r="C13" s="1" t="s">
        <v>392</v>
      </c>
      <c r="D13" s="1">
        <f t="shared" si="0"/>
        <v>40779</v>
      </c>
      <c r="E13" s="1" t="s">
        <v>580</v>
      </c>
      <c r="F13" s="1" t="s">
        <v>1076</v>
      </c>
    </row>
    <row r="14" spans="1:6" ht="20.100000000000001" customHeight="1" x14ac:dyDescent="0.2">
      <c r="A14" s="30"/>
      <c r="B14" s="2">
        <v>12</v>
      </c>
      <c r="C14" s="1" t="s">
        <v>393</v>
      </c>
      <c r="D14" s="1">
        <f t="shared" si="0"/>
        <v>40780</v>
      </c>
      <c r="E14" s="1" t="s">
        <v>581</v>
      </c>
      <c r="F14" s="26" t="s">
        <v>920</v>
      </c>
    </row>
    <row r="15" spans="1:6" ht="20.100000000000001" customHeight="1" x14ac:dyDescent="0.2">
      <c r="A15" s="30"/>
      <c r="B15" s="2">
        <v>13</v>
      </c>
      <c r="C15" s="1" t="s">
        <v>394</v>
      </c>
      <c r="D15" s="1">
        <f t="shared" si="0"/>
        <v>40781</v>
      </c>
      <c r="E15" s="1" t="s">
        <v>582</v>
      </c>
      <c r="F15" s="26"/>
    </row>
    <row r="16" spans="1:6" ht="20.100000000000001" customHeight="1" x14ac:dyDescent="0.2">
      <c r="A16" s="30"/>
      <c r="B16" s="2">
        <v>14</v>
      </c>
      <c r="C16" s="1" t="s">
        <v>395</v>
      </c>
      <c r="D16" s="1">
        <f t="shared" si="0"/>
        <v>40782</v>
      </c>
      <c r="E16" s="1" t="s">
        <v>583</v>
      </c>
      <c r="F16" s="26" t="s">
        <v>922</v>
      </c>
    </row>
    <row r="17" spans="1:6" ht="20.100000000000001" customHeight="1" x14ac:dyDescent="0.2">
      <c r="A17" s="30"/>
      <c r="B17" s="2">
        <v>15</v>
      </c>
      <c r="C17" s="1" t="s">
        <v>396</v>
      </c>
      <c r="D17" s="1">
        <f t="shared" si="0"/>
        <v>40783</v>
      </c>
      <c r="E17" s="1" t="s">
        <v>584</v>
      </c>
      <c r="F17" s="26"/>
    </row>
    <row r="18" spans="1:6" ht="20.100000000000001" customHeight="1" x14ac:dyDescent="0.2">
      <c r="A18" s="30"/>
      <c r="B18" s="2">
        <v>16</v>
      </c>
      <c r="C18" s="1" t="s">
        <v>397</v>
      </c>
      <c r="D18" s="1">
        <f t="shared" si="0"/>
        <v>40784</v>
      </c>
      <c r="E18" s="1" t="s">
        <v>585</v>
      </c>
      <c r="F18" s="1" t="s">
        <v>725</v>
      </c>
    </row>
  </sheetData>
  <mergeCells count="6">
    <mergeCell ref="A2:A18"/>
    <mergeCell ref="E1:F1"/>
    <mergeCell ref="F8:F9"/>
    <mergeCell ref="F10:F11"/>
    <mergeCell ref="F14:F15"/>
    <mergeCell ref="F16:F17"/>
  </mergeCells>
  <phoneticPr fontId="1" type="noConversion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058F8-35BF-414A-80C9-7C56C4374EE2}">
  <dimension ref="A1:N25"/>
  <sheetViews>
    <sheetView workbookViewId="0">
      <selection sqref="A1:N25"/>
    </sheetView>
  </sheetViews>
  <sheetFormatPr defaultRowHeight="20.100000000000001" customHeight="1" x14ac:dyDescent="0.2"/>
  <cols>
    <col min="1" max="1" width="6.125" style="8" customWidth="1"/>
    <col min="2" max="2" width="4.5" style="8" bestFit="1" customWidth="1"/>
    <col min="3" max="3" width="5.25" style="7" bestFit="1" customWidth="1"/>
    <col min="4" max="4" width="6" style="7" bestFit="1" customWidth="1"/>
    <col min="5" max="5" width="4.5" style="7" bestFit="1" customWidth="1"/>
    <col min="6" max="6" width="12.75" style="7" customWidth="1"/>
    <col min="7" max="7" width="5.25" style="7" bestFit="1" customWidth="1"/>
    <col min="8" max="8" width="15.25" style="7" bestFit="1" customWidth="1"/>
    <col min="9" max="9" width="5.25" style="7" bestFit="1" customWidth="1"/>
    <col min="10" max="10" width="17.625" style="7" bestFit="1" customWidth="1"/>
    <col min="11" max="11" width="5.25" style="7" bestFit="1" customWidth="1"/>
    <col min="12" max="12" width="17.375" style="7" customWidth="1"/>
    <col min="13" max="16384" width="9" style="7"/>
  </cols>
  <sheetData>
    <row r="1" spans="1:14" s="6" customFormat="1" ht="24" customHeight="1" x14ac:dyDescent="0.2">
      <c r="A1" s="5" t="s">
        <v>0</v>
      </c>
      <c r="B1" s="22" t="s">
        <v>1</v>
      </c>
      <c r="C1" s="5" t="s">
        <v>8</v>
      </c>
      <c r="D1" s="5" t="s">
        <v>420</v>
      </c>
      <c r="E1" s="42" t="s">
        <v>546</v>
      </c>
      <c r="F1" s="42"/>
      <c r="G1" s="42" t="s">
        <v>997</v>
      </c>
      <c r="H1" s="42"/>
      <c r="I1" s="42"/>
      <c r="J1" s="42"/>
      <c r="K1" s="42"/>
      <c r="L1" s="42"/>
      <c r="M1" s="42"/>
      <c r="N1" s="42"/>
    </row>
    <row r="2" spans="1:14" ht="27.75" customHeight="1" x14ac:dyDescent="0.2">
      <c r="A2" s="30" t="s">
        <v>380</v>
      </c>
      <c r="B2" s="2">
        <v>0</v>
      </c>
      <c r="C2" s="1" t="s">
        <v>484</v>
      </c>
      <c r="D2" s="1">
        <f>36865+8000-4096+B2-1</f>
        <v>40768</v>
      </c>
      <c r="E2" s="1" t="s">
        <v>170</v>
      </c>
      <c r="F2" s="1" t="s">
        <v>1000</v>
      </c>
      <c r="G2" s="1" t="s">
        <v>1001</v>
      </c>
      <c r="H2" s="1" t="s">
        <v>1000</v>
      </c>
      <c r="I2" s="1" t="s">
        <v>1001</v>
      </c>
      <c r="J2" s="1" t="s">
        <v>1000</v>
      </c>
      <c r="K2" s="1" t="s">
        <v>1001</v>
      </c>
      <c r="L2" s="1" t="s">
        <v>1000</v>
      </c>
      <c r="M2" s="1" t="s">
        <v>1001</v>
      </c>
      <c r="N2" s="1" t="s">
        <v>1000</v>
      </c>
    </row>
    <row r="3" spans="1:14" ht="20.100000000000001" customHeight="1" x14ac:dyDescent="0.2">
      <c r="A3" s="30"/>
      <c r="B3" s="2">
        <v>1</v>
      </c>
      <c r="C3" s="1" t="s">
        <v>486</v>
      </c>
      <c r="D3" s="1">
        <f t="shared" ref="D3:D21" si="0">36865+8000-4096+B3-1</f>
        <v>40769</v>
      </c>
      <c r="E3" s="1"/>
      <c r="F3" s="2" t="s">
        <v>1028</v>
      </c>
      <c r="G3" s="1" t="s">
        <v>1002</v>
      </c>
      <c r="H3" s="2" t="s">
        <v>994</v>
      </c>
      <c r="I3" s="1" t="s">
        <v>1002</v>
      </c>
      <c r="J3" s="2" t="s">
        <v>995</v>
      </c>
      <c r="K3" s="1" t="s">
        <v>1002</v>
      </c>
      <c r="L3" s="2" t="s">
        <v>996</v>
      </c>
      <c r="M3" s="1" t="s">
        <v>1002</v>
      </c>
      <c r="N3" s="2" t="s">
        <v>1066</v>
      </c>
    </row>
    <row r="4" spans="1:14" ht="20.100000000000001" customHeight="1" x14ac:dyDescent="0.2">
      <c r="A4" s="30"/>
      <c r="B4" s="2">
        <v>2</v>
      </c>
      <c r="C4" s="1" t="s">
        <v>487</v>
      </c>
      <c r="D4" s="1">
        <f t="shared" si="0"/>
        <v>40770</v>
      </c>
      <c r="E4" s="1" t="s">
        <v>445</v>
      </c>
      <c r="F4" s="1" t="s">
        <v>547</v>
      </c>
      <c r="G4" s="1" t="s">
        <v>1003</v>
      </c>
      <c r="H4" s="1" t="s">
        <v>485</v>
      </c>
      <c r="I4" s="1" t="s">
        <v>1003</v>
      </c>
      <c r="J4" s="1"/>
      <c r="K4" s="1" t="s">
        <v>1003</v>
      </c>
      <c r="L4" s="1"/>
      <c r="M4" s="1"/>
      <c r="N4" s="1"/>
    </row>
    <row r="5" spans="1:14" ht="20.100000000000001" customHeight="1" x14ac:dyDescent="0.2">
      <c r="A5" s="30"/>
      <c r="B5" s="2">
        <v>3</v>
      </c>
      <c r="C5" s="1" t="s">
        <v>488</v>
      </c>
      <c r="D5" s="1">
        <f t="shared" si="0"/>
        <v>40771</v>
      </c>
      <c r="E5" s="1" t="s">
        <v>446</v>
      </c>
      <c r="F5" s="1" t="s">
        <v>548</v>
      </c>
      <c r="G5" s="1" t="s">
        <v>1004</v>
      </c>
      <c r="H5" s="1" t="s">
        <v>432</v>
      </c>
      <c r="I5" s="1" t="s">
        <v>1004</v>
      </c>
      <c r="J5" s="1"/>
      <c r="K5" s="1" t="s">
        <v>1004</v>
      </c>
      <c r="L5" s="1"/>
      <c r="M5" s="1"/>
      <c r="N5" s="1"/>
    </row>
    <row r="6" spans="1:14" ht="20.100000000000001" customHeight="1" x14ac:dyDescent="0.2">
      <c r="A6" s="30"/>
      <c r="B6" s="2">
        <v>4</v>
      </c>
      <c r="C6" s="1" t="s">
        <v>489</v>
      </c>
      <c r="D6" s="1">
        <f t="shared" si="0"/>
        <v>40772</v>
      </c>
      <c r="E6" s="1" t="s">
        <v>447</v>
      </c>
      <c r="F6" s="1" t="s">
        <v>549</v>
      </c>
      <c r="G6" s="1" t="s">
        <v>1005</v>
      </c>
      <c r="H6" s="1" t="s">
        <v>425</v>
      </c>
      <c r="I6" s="1" t="s">
        <v>1005</v>
      </c>
      <c r="J6" s="1"/>
      <c r="K6" s="1" t="s">
        <v>1005</v>
      </c>
      <c r="L6" s="1"/>
      <c r="M6" s="1"/>
      <c r="N6" s="1"/>
    </row>
    <row r="7" spans="1:14" ht="20.100000000000001" customHeight="1" x14ac:dyDescent="0.2">
      <c r="A7" s="30"/>
      <c r="B7" s="2">
        <v>5</v>
      </c>
      <c r="C7" s="1" t="s">
        <v>490</v>
      </c>
      <c r="D7" s="1">
        <f t="shared" si="0"/>
        <v>40773</v>
      </c>
      <c r="E7" s="1" t="s">
        <v>448</v>
      </c>
      <c r="F7" s="1" t="s">
        <v>550</v>
      </c>
      <c r="G7" s="1" t="s">
        <v>1006</v>
      </c>
      <c r="H7" s="1" t="s">
        <v>424</v>
      </c>
      <c r="I7" s="1" t="s">
        <v>1006</v>
      </c>
      <c r="J7" s="1"/>
      <c r="K7" s="1" t="s">
        <v>1006</v>
      </c>
      <c r="L7" s="1"/>
      <c r="M7" s="1"/>
      <c r="N7" s="1"/>
    </row>
    <row r="8" spans="1:14" ht="20.100000000000001" customHeight="1" x14ac:dyDescent="0.2">
      <c r="A8" s="30"/>
      <c r="B8" s="2">
        <v>6</v>
      </c>
      <c r="C8" s="1" t="s">
        <v>491</v>
      </c>
      <c r="D8" s="1">
        <f t="shared" si="0"/>
        <v>40774</v>
      </c>
      <c r="E8" s="1" t="s">
        <v>449</v>
      </c>
      <c r="F8" s="1" t="s">
        <v>551</v>
      </c>
      <c r="G8" s="1" t="s">
        <v>1007</v>
      </c>
      <c r="H8" s="1" t="s">
        <v>426</v>
      </c>
      <c r="I8" s="1" t="s">
        <v>1007</v>
      </c>
      <c r="J8" s="1"/>
      <c r="K8" s="1" t="s">
        <v>1007</v>
      </c>
      <c r="L8" s="1"/>
      <c r="M8" s="1"/>
      <c r="N8" s="1"/>
    </row>
    <row r="9" spans="1:14" ht="20.100000000000001" customHeight="1" x14ac:dyDescent="0.2">
      <c r="A9" s="30"/>
      <c r="B9" s="2">
        <v>7</v>
      </c>
      <c r="C9" s="1" t="s">
        <v>492</v>
      </c>
      <c r="D9" s="1">
        <f t="shared" si="0"/>
        <v>40775</v>
      </c>
      <c r="E9" s="1" t="s">
        <v>450</v>
      </c>
      <c r="F9" s="1" t="s">
        <v>552</v>
      </c>
      <c r="G9" s="1" t="s">
        <v>1008</v>
      </c>
      <c r="H9" s="1" t="s">
        <v>427</v>
      </c>
      <c r="I9" s="1" t="s">
        <v>1008</v>
      </c>
      <c r="J9" s="2"/>
      <c r="K9" s="1" t="s">
        <v>1008</v>
      </c>
      <c r="L9" s="1"/>
      <c r="M9" s="1"/>
      <c r="N9" s="1"/>
    </row>
    <row r="10" spans="1:14" ht="20.100000000000001" customHeight="1" x14ac:dyDescent="0.2">
      <c r="A10" s="30"/>
      <c r="B10" s="2">
        <v>8</v>
      </c>
      <c r="C10" s="1" t="s">
        <v>493</v>
      </c>
      <c r="D10" s="1">
        <f t="shared" si="0"/>
        <v>40776</v>
      </c>
      <c r="E10" s="1" t="s">
        <v>457</v>
      </c>
      <c r="F10" s="1" t="s">
        <v>451</v>
      </c>
      <c r="G10" s="1" t="s">
        <v>1009</v>
      </c>
      <c r="H10" s="1" t="s">
        <v>428</v>
      </c>
      <c r="I10" s="1" t="s">
        <v>1009</v>
      </c>
      <c r="J10" s="1"/>
      <c r="K10" s="1" t="s">
        <v>1009</v>
      </c>
      <c r="L10" s="1"/>
      <c r="M10" s="1"/>
      <c r="N10" s="1"/>
    </row>
    <row r="11" spans="1:14" ht="20.100000000000001" customHeight="1" x14ac:dyDescent="0.2">
      <c r="A11" s="30"/>
      <c r="B11" s="2">
        <v>9</v>
      </c>
      <c r="C11" s="1" t="s">
        <v>494</v>
      </c>
      <c r="D11" s="1">
        <f t="shared" si="0"/>
        <v>40777</v>
      </c>
      <c r="E11" s="1" t="s">
        <v>458</v>
      </c>
      <c r="F11" s="1" t="s">
        <v>452</v>
      </c>
      <c r="G11" s="1" t="s">
        <v>1010</v>
      </c>
      <c r="H11" s="1"/>
      <c r="I11" s="1" t="s">
        <v>1010</v>
      </c>
      <c r="J11" s="1" t="s">
        <v>429</v>
      </c>
      <c r="K11" s="1" t="s">
        <v>1010</v>
      </c>
      <c r="L11" s="1"/>
      <c r="M11" s="1"/>
      <c r="N11" s="1"/>
    </row>
    <row r="12" spans="1:14" ht="20.100000000000001" customHeight="1" x14ac:dyDescent="0.2">
      <c r="A12" s="30"/>
      <c r="B12" s="2">
        <v>10</v>
      </c>
      <c r="C12" s="1" t="s">
        <v>495</v>
      </c>
      <c r="D12" s="1">
        <f t="shared" si="0"/>
        <v>40778</v>
      </c>
      <c r="E12" s="1" t="s">
        <v>459</v>
      </c>
      <c r="F12" s="1" t="s">
        <v>453</v>
      </c>
      <c r="G12" s="1" t="s">
        <v>1011</v>
      </c>
      <c r="H12" s="1"/>
      <c r="I12" s="1" t="s">
        <v>1011</v>
      </c>
      <c r="J12" s="1" t="s">
        <v>1065</v>
      </c>
      <c r="K12" s="1" t="s">
        <v>1011</v>
      </c>
      <c r="L12" s="1"/>
      <c r="M12" s="1"/>
      <c r="N12" s="1"/>
    </row>
    <row r="13" spans="1:14" ht="20.100000000000001" customHeight="1" x14ac:dyDescent="0.2">
      <c r="A13" s="30"/>
      <c r="B13" s="2">
        <v>11</v>
      </c>
      <c r="C13" s="1" t="s">
        <v>496</v>
      </c>
      <c r="D13" s="1">
        <f t="shared" si="0"/>
        <v>40779</v>
      </c>
      <c r="E13" s="1" t="s">
        <v>460</v>
      </c>
      <c r="F13" s="1" t="s">
        <v>454</v>
      </c>
      <c r="G13" s="1" t="s">
        <v>1012</v>
      </c>
      <c r="H13" s="1"/>
      <c r="I13" s="1" t="s">
        <v>1012</v>
      </c>
      <c r="J13" s="1" t="s">
        <v>430</v>
      </c>
      <c r="K13" s="1" t="s">
        <v>1012</v>
      </c>
      <c r="L13" s="1"/>
      <c r="M13" s="1"/>
      <c r="N13" s="1"/>
    </row>
    <row r="14" spans="1:14" ht="43.5" customHeight="1" x14ac:dyDescent="0.2">
      <c r="A14" s="30"/>
      <c r="B14" s="2">
        <v>12</v>
      </c>
      <c r="C14" s="1" t="s">
        <v>497</v>
      </c>
      <c r="D14" s="1">
        <f t="shared" si="0"/>
        <v>40780</v>
      </c>
      <c r="E14" s="1" t="s">
        <v>461</v>
      </c>
      <c r="F14" s="1" t="s">
        <v>455</v>
      </c>
      <c r="G14" s="1" t="s">
        <v>1013</v>
      </c>
      <c r="H14" s="1"/>
      <c r="I14" s="1" t="s">
        <v>1013</v>
      </c>
      <c r="J14" s="1" t="s">
        <v>431</v>
      </c>
      <c r="K14" s="1" t="s">
        <v>1013</v>
      </c>
      <c r="L14" s="1"/>
      <c r="M14" s="1"/>
      <c r="N14" s="1"/>
    </row>
    <row r="15" spans="1:14" ht="20.100000000000001" customHeight="1" x14ac:dyDescent="0.2">
      <c r="A15" s="30"/>
      <c r="B15" s="2">
        <v>13</v>
      </c>
      <c r="C15" s="1" t="s">
        <v>498</v>
      </c>
      <c r="D15" s="1">
        <f t="shared" si="0"/>
        <v>40781</v>
      </c>
      <c r="E15" s="1" t="s">
        <v>462</v>
      </c>
      <c r="F15" s="1" t="s">
        <v>456</v>
      </c>
      <c r="G15" s="1" t="s">
        <v>1014</v>
      </c>
      <c r="H15" s="1"/>
      <c r="I15" s="1" t="s">
        <v>1014</v>
      </c>
      <c r="J15" s="1"/>
      <c r="K15" s="1" t="s">
        <v>1014</v>
      </c>
      <c r="L15" s="2" t="s">
        <v>572</v>
      </c>
      <c r="M15" s="1"/>
      <c r="N15" s="1"/>
    </row>
    <row r="16" spans="1:14" ht="20.100000000000001" customHeight="1" x14ac:dyDescent="0.2">
      <c r="A16" s="30"/>
      <c r="B16" s="2">
        <v>14</v>
      </c>
      <c r="C16" s="1" t="s">
        <v>499</v>
      </c>
      <c r="D16" s="1">
        <f t="shared" si="0"/>
        <v>40782</v>
      </c>
      <c r="E16" s="1"/>
      <c r="F16" s="1"/>
      <c r="G16" s="1" t="s">
        <v>1015</v>
      </c>
      <c r="H16" s="1"/>
      <c r="I16" s="1" t="s">
        <v>1015</v>
      </c>
      <c r="J16" s="1"/>
      <c r="K16" s="1" t="s">
        <v>1015</v>
      </c>
      <c r="L16" s="1" t="s">
        <v>421</v>
      </c>
      <c r="M16" s="1"/>
      <c r="N16" s="1"/>
    </row>
    <row r="17" spans="1:14" ht="20.100000000000001" customHeight="1" x14ac:dyDescent="0.2">
      <c r="A17" s="30"/>
      <c r="B17" s="2">
        <v>15</v>
      </c>
      <c r="C17" s="1" t="s">
        <v>500</v>
      </c>
      <c r="D17" s="1">
        <f t="shared" si="0"/>
        <v>40783</v>
      </c>
      <c r="E17" s="1"/>
      <c r="F17" s="1"/>
      <c r="G17" s="1" t="s">
        <v>1016</v>
      </c>
      <c r="H17" s="1"/>
      <c r="I17" s="1" t="s">
        <v>1016</v>
      </c>
      <c r="J17" s="1"/>
      <c r="K17" s="1" t="s">
        <v>1016</v>
      </c>
      <c r="L17" s="1" t="s">
        <v>422</v>
      </c>
      <c r="M17" s="1"/>
      <c r="N17" s="1"/>
    </row>
    <row r="18" spans="1:14" ht="20.100000000000001" customHeight="1" x14ac:dyDescent="0.2">
      <c r="A18" s="30"/>
      <c r="B18" s="2">
        <v>16</v>
      </c>
      <c r="C18" s="1" t="s">
        <v>501</v>
      </c>
      <c r="D18" s="1">
        <f t="shared" si="0"/>
        <v>40784</v>
      </c>
      <c r="E18" s="1"/>
      <c r="F18" s="1"/>
      <c r="G18" s="1" t="s">
        <v>1017</v>
      </c>
      <c r="H18" s="1"/>
      <c r="I18" s="1" t="s">
        <v>1017</v>
      </c>
      <c r="J18" s="1"/>
      <c r="K18" s="1" t="s">
        <v>1017</v>
      </c>
      <c r="L18" s="1" t="s">
        <v>423</v>
      </c>
      <c r="M18" s="1"/>
      <c r="N18" s="1"/>
    </row>
    <row r="19" spans="1:14" ht="20.100000000000001" customHeight="1" x14ac:dyDescent="0.2">
      <c r="A19" s="30"/>
      <c r="B19" s="2">
        <v>17</v>
      </c>
      <c r="C19" s="1" t="s">
        <v>502</v>
      </c>
      <c r="D19" s="1">
        <f t="shared" si="0"/>
        <v>40785</v>
      </c>
      <c r="E19" s="1"/>
      <c r="F19" s="1"/>
      <c r="G19" s="1" t="s">
        <v>1018</v>
      </c>
      <c r="H19" s="1"/>
      <c r="I19" s="1" t="s">
        <v>1018</v>
      </c>
      <c r="J19" s="1"/>
      <c r="K19" s="1" t="s">
        <v>1018</v>
      </c>
      <c r="L19" s="1" t="s">
        <v>820</v>
      </c>
      <c r="M19" s="1"/>
      <c r="N19" s="1"/>
    </row>
    <row r="20" spans="1:14" ht="20.100000000000001" customHeight="1" x14ac:dyDescent="0.2">
      <c r="A20" s="30"/>
      <c r="B20" s="2">
        <v>18</v>
      </c>
      <c r="C20" s="1" t="s">
        <v>503</v>
      </c>
      <c r="D20" s="1">
        <f t="shared" si="0"/>
        <v>40786</v>
      </c>
      <c r="E20" s="1"/>
      <c r="F20" s="1"/>
      <c r="G20" s="1" t="s">
        <v>1019</v>
      </c>
      <c r="H20" s="1"/>
      <c r="I20" s="1" t="s">
        <v>1019</v>
      </c>
      <c r="J20" s="1"/>
      <c r="K20" s="1" t="s">
        <v>1019</v>
      </c>
      <c r="L20" s="1" t="s">
        <v>821</v>
      </c>
      <c r="M20" s="1"/>
      <c r="N20" s="1"/>
    </row>
    <row r="21" spans="1:14" ht="20.100000000000001" customHeight="1" x14ac:dyDescent="0.2">
      <c r="A21" s="30"/>
      <c r="B21" s="2">
        <v>19</v>
      </c>
      <c r="C21" s="1" t="s">
        <v>504</v>
      </c>
      <c r="D21" s="1">
        <f t="shared" si="0"/>
        <v>40787</v>
      </c>
      <c r="E21" s="1"/>
      <c r="F21" s="1"/>
      <c r="G21" s="1" t="s">
        <v>1020</v>
      </c>
      <c r="H21" s="1"/>
      <c r="I21" s="1" t="s">
        <v>1020</v>
      </c>
      <c r="J21" s="1"/>
      <c r="K21" s="1" t="s">
        <v>1020</v>
      </c>
      <c r="L21" s="1" t="s">
        <v>822</v>
      </c>
      <c r="M21" s="1"/>
      <c r="N21" s="1"/>
    </row>
    <row r="22" spans="1:14" ht="20.100000000000001" customHeight="1" x14ac:dyDescent="0.2">
      <c r="A22" s="30"/>
      <c r="B22" s="2">
        <v>20</v>
      </c>
      <c r="C22" s="1" t="s">
        <v>532</v>
      </c>
      <c r="D22" s="1">
        <f t="shared" ref="D22:D24" si="1">36865+8000-4096+B22-1</f>
        <v>40788</v>
      </c>
      <c r="E22" s="1"/>
      <c r="F22" s="1"/>
      <c r="G22" s="1" t="s">
        <v>1021</v>
      </c>
      <c r="H22" s="1"/>
      <c r="I22" s="1" t="s">
        <v>1021</v>
      </c>
      <c r="J22" s="1"/>
      <c r="K22" s="1" t="s">
        <v>1021</v>
      </c>
      <c r="L22" s="1" t="s">
        <v>823</v>
      </c>
      <c r="M22" s="1"/>
      <c r="N22" s="1"/>
    </row>
    <row r="23" spans="1:14" ht="20.100000000000001" customHeight="1" x14ac:dyDescent="0.2">
      <c r="A23" s="30"/>
      <c r="B23" s="2">
        <v>21</v>
      </c>
      <c r="C23" s="1" t="s">
        <v>991</v>
      </c>
      <c r="D23" s="1">
        <f t="shared" si="1"/>
        <v>40789</v>
      </c>
      <c r="E23" s="1"/>
      <c r="F23" s="1"/>
      <c r="G23" s="1" t="s">
        <v>1022</v>
      </c>
      <c r="H23" s="1"/>
      <c r="I23" s="1" t="s">
        <v>1022</v>
      </c>
      <c r="J23" s="1"/>
      <c r="K23" s="1" t="s">
        <v>1022</v>
      </c>
      <c r="L23" s="1" t="s">
        <v>824</v>
      </c>
      <c r="M23" s="1"/>
      <c r="N23" s="1"/>
    </row>
    <row r="24" spans="1:14" ht="20.100000000000001" customHeight="1" x14ac:dyDescent="0.2">
      <c r="A24" s="30"/>
      <c r="B24" s="2">
        <v>22</v>
      </c>
      <c r="C24" s="1" t="s">
        <v>992</v>
      </c>
      <c r="D24" s="1">
        <f t="shared" si="1"/>
        <v>40790</v>
      </c>
      <c r="E24" s="1"/>
      <c r="F24" s="1"/>
      <c r="G24" s="1" t="s">
        <v>1023</v>
      </c>
      <c r="H24" s="1"/>
      <c r="I24" s="1" t="s">
        <v>1023</v>
      </c>
      <c r="J24" s="1"/>
      <c r="K24" s="1" t="s">
        <v>1023</v>
      </c>
      <c r="L24" s="1" t="s">
        <v>825</v>
      </c>
      <c r="M24" s="1"/>
      <c r="N24" s="1"/>
    </row>
    <row r="25" spans="1:14" ht="20.100000000000001" customHeight="1" x14ac:dyDescent="0.2">
      <c r="A25" s="30"/>
      <c r="B25" s="2">
        <v>23</v>
      </c>
      <c r="C25" s="1" t="s">
        <v>993</v>
      </c>
      <c r="D25" s="1">
        <f t="shared" ref="D25" si="2">36865+8000-4096+B25-1</f>
        <v>40791</v>
      </c>
      <c r="E25" s="1"/>
      <c r="F25" s="1"/>
      <c r="G25" s="1" t="s">
        <v>1024</v>
      </c>
      <c r="H25" s="1"/>
      <c r="I25" s="1" t="s">
        <v>1024</v>
      </c>
      <c r="J25" s="1"/>
      <c r="K25" s="1" t="s">
        <v>1024</v>
      </c>
      <c r="L25" s="1" t="s">
        <v>826</v>
      </c>
      <c r="M25" s="1"/>
      <c r="N25" s="1"/>
    </row>
  </sheetData>
  <mergeCells count="3">
    <mergeCell ref="E1:F1"/>
    <mergeCell ref="A2:A25"/>
    <mergeCell ref="G1:N1"/>
  </mergeCells>
  <phoneticPr fontId="1" type="noConversion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F11A5-4FA8-49DF-A0E8-D472EDCBBAE9}">
  <dimension ref="A1:U15"/>
  <sheetViews>
    <sheetView tabSelected="1" workbookViewId="0"/>
  </sheetViews>
  <sheetFormatPr defaultRowHeight="20.100000000000001" customHeight="1" x14ac:dyDescent="0.2"/>
  <cols>
    <col min="1" max="1" width="6.125" style="8" customWidth="1"/>
    <col min="2" max="2" width="4.5" style="8" bestFit="1" customWidth="1"/>
    <col min="3" max="3" width="4.5" style="7" bestFit="1" customWidth="1"/>
    <col min="4" max="4" width="4.5" style="7" customWidth="1"/>
    <col min="5" max="5" width="5.25" style="7" bestFit="1" customWidth="1"/>
    <col min="6" max="6" width="4.5" style="7" bestFit="1" customWidth="1"/>
    <col min="7" max="7" width="5.25" style="7" bestFit="1" customWidth="1"/>
    <col min="8" max="8" width="4.5" style="7" bestFit="1" customWidth="1"/>
    <col min="9" max="9" width="5.25" style="7" customWidth="1"/>
    <col min="10" max="10" width="7.5" style="7" bestFit="1" customWidth="1"/>
    <col min="11" max="11" width="5.25" style="7" customWidth="1"/>
    <col min="12" max="12" width="7.5" style="7" bestFit="1" customWidth="1"/>
    <col min="13" max="13" width="5.25" style="7" bestFit="1" customWidth="1"/>
    <col min="14" max="14" width="7.5" style="7" bestFit="1" customWidth="1"/>
    <col min="15" max="15" width="5.25" style="7" bestFit="1" customWidth="1"/>
    <col min="16" max="16" width="7.5" style="7" bestFit="1" customWidth="1"/>
    <col min="17" max="17" width="5.25" style="7" bestFit="1" customWidth="1"/>
    <col min="18" max="18" width="4.5" style="7" bestFit="1" customWidth="1"/>
    <col min="19" max="19" width="5.25" style="7" bestFit="1" customWidth="1"/>
    <col min="20" max="20" width="4.5" style="7" bestFit="1" customWidth="1"/>
    <col min="21" max="16384" width="9" style="7"/>
  </cols>
  <sheetData>
    <row r="1" spans="1:21" s="6" customFormat="1" ht="20.100000000000001" customHeight="1" x14ac:dyDescent="0.2">
      <c r="A1" s="5" t="s">
        <v>0</v>
      </c>
      <c r="B1" s="5" t="s">
        <v>1</v>
      </c>
      <c r="C1" s="43" t="s">
        <v>8</v>
      </c>
      <c r="D1" s="44"/>
      <c r="E1" s="30" t="s">
        <v>707</v>
      </c>
      <c r="F1" s="30"/>
      <c r="G1" s="30" t="s">
        <v>708</v>
      </c>
      <c r="H1" s="30"/>
      <c r="I1" s="30" t="s">
        <v>709</v>
      </c>
      <c r="J1" s="30"/>
      <c r="K1" s="30" t="s">
        <v>710</v>
      </c>
      <c r="L1" s="30"/>
      <c r="M1" s="30" t="s">
        <v>711</v>
      </c>
      <c r="N1" s="30"/>
      <c r="O1" s="30" t="s">
        <v>712</v>
      </c>
      <c r="P1" s="30"/>
      <c r="Q1" s="30" t="s">
        <v>713</v>
      </c>
      <c r="R1" s="30"/>
      <c r="S1" s="30" t="s">
        <v>714</v>
      </c>
      <c r="T1" s="30"/>
      <c r="U1" s="5" t="s">
        <v>367</v>
      </c>
    </row>
    <row r="2" spans="1:21" ht="20.100000000000001" customHeight="1" x14ac:dyDescent="0.2">
      <c r="A2" s="30" t="s">
        <v>715</v>
      </c>
      <c r="B2" s="2">
        <v>0</v>
      </c>
      <c r="C2" s="1" t="s">
        <v>659</v>
      </c>
      <c r="D2" s="1" t="s">
        <v>968</v>
      </c>
      <c r="E2" s="1" t="s">
        <v>716</v>
      </c>
      <c r="F2" s="2" t="s">
        <v>717</v>
      </c>
      <c r="G2" s="1" t="s">
        <v>716</v>
      </c>
      <c r="H2" s="2" t="s">
        <v>717</v>
      </c>
      <c r="I2" s="1" t="s">
        <v>716</v>
      </c>
      <c r="J2" s="2" t="s">
        <v>717</v>
      </c>
      <c r="K2" s="1" t="s">
        <v>716</v>
      </c>
      <c r="L2" s="2" t="s">
        <v>717</v>
      </c>
      <c r="M2" s="1" t="s">
        <v>716</v>
      </c>
      <c r="N2" s="2" t="s">
        <v>717</v>
      </c>
      <c r="O2" s="1" t="s">
        <v>716</v>
      </c>
      <c r="P2" s="2" t="s">
        <v>717</v>
      </c>
      <c r="Q2" s="1" t="s">
        <v>716</v>
      </c>
      <c r="R2" s="2" t="s">
        <v>717</v>
      </c>
      <c r="S2" s="1" t="s">
        <v>716</v>
      </c>
      <c r="T2" s="2" t="s">
        <v>717</v>
      </c>
      <c r="U2" s="1"/>
    </row>
    <row r="3" spans="1:21" ht="20.100000000000001" customHeight="1" x14ac:dyDescent="0.2">
      <c r="A3" s="30"/>
      <c r="B3" s="2">
        <v>1</v>
      </c>
      <c r="C3" s="1" t="s">
        <v>660</v>
      </c>
      <c r="D3" s="1" t="s">
        <v>970</v>
      </c>
      <c r="E3" s="1"/>
      <c r="F3" s="2"/>
      <c r="G3" s="1"/>
      <c r="H3" s="2"/>
      <c r="I3" s="26" t="s">
        <v>718</v>
      </c>
      <c r="J3" s="30" t="s">
        <v>918</v>
      </c>
      <c r="K3" s="26" t="s">
        <v>719</v>
      </c>
      <c r="L3" s="30" t="s">
        <v>918</v>
      </c>
      <c r="M3" s="1"/>
      <c r="N3" s="1"/>
      <c r="O3" s="1"/>
      <c r="P3" s="1"/>
      <c r="Q3" s="1"/>
      <c r="R3" s="2"/>
      <c r="S3" s="1"/>
      <c r="T3" s="2"/>
      <c r="U3" s="1"/>
    </row>
    <row r="4" spans="1:21" ht="20.100000000000001" customHeight="1" x14ac:dyDescent="0.2">
      <c r="A4" s="30"/>
      <c r="B4" s="2">
        <v>2</v>
      </c>
      <c r="C4" s="1" t="s">
        <v>661</v>
      </c>
      <c r="D4" s="1" t="s">
        <v>971</v>
      </c>
      <c r="E4" s="1"/>
      <c r="F4" s="1"/>
      <c r="G4" s="1"/>
      <c r="H4" s="1"/>
      <c r="I4" s="26"/>
      <c r="J4" s="30"/>
      <c r="K4" s="26"/>
      <c r="L4" s="30"/>
      <c r="M4" s="1"/>
      <c r="N4" s="1"/>
      <c r="O4" s="1"/>
      <c r="P4" s="1"/>
      <c r="Q4" s="1"/>
      <c r="R4" s="1"/>
      <c r="S4" s="1"/>
      <c r="T4" s="1"/>
      <c r="U4" s="1"/>
    </row>
    <row r="5" spans="1:21" ht="20.100000000000001" customHeight="1" x14ac:dyDescent="0.2">
      <c r="A5" s="30"/>
      <c r="B5" s="2">
        <v>3</v>
      </c>
      <c r="C5" s="1" t="s">
        <v>662</v>
      </c>
      <c r="D5" s="1" t="s">
        <v>972</v>
      </c>
      <c r="E5" s="1"/>
      <c r="F5" s="1"/>
      <c r="G5" s="1"/>
      <c r="H5" s="1"/>
      <c r="I5" s="26" t="s">
        <v>722</v>
      </c>
      <c r="J5" s="30" t="s">
        <v>919</v>
      </c>
      <c r="K5" s="26" t="s">
        <v>723</v>
      </c>
      <c r="L5" s="30" t="s">
        <v>919</v>
      </c>
      <c r="M5" s="1"/>
      <c r="N5" s="1"/>
      <c r="O5" s="1"/>
      <c r="P5" s="1"/>
      <c r="Q5" s="1"/>
      <c r="R5" s="1"/>
      <c r="S5" s="1"/>
      <c r="T5" s="1"/>
      <c r="U5" s="1"/>
    </row>
    <row r="6" spans="1:21" ht="20.100000000000001" customHeight="1" x14ac:dyDescent="0.2">
      <c r="A6" s="30"/>
      <c r="B6" s="2">
        <v>4</v>
      </c>
      <c r="C6" s="1" t="s">
        <v>663</v>
      </c>
      <c r="D6" s="1" t="s">
        <v>973</v>
      </c>
      <c r="E6" s="1"/>
      <c r="F6" s="1"/>
      <c r="G6" s="1"/>
      <c r="H6" s="1"/>
      <c r="I6" s="26"/>
      <c r="J6" s="30"/>
      <c r="K6" s="26"/>
      <c r="L6" s="30"/>
      <c r="M6" s="1"/>
      <c r="N6" s="1"/>
      <c r="O6" s="1"/>
      <c r="P6" s="1"/>
      <c r="Q6" s="1"/>
      <c r="R6" s="1"/>
      <c r="S6" s="1"/>
      <c r="T6" s="1"/>
      <c r="U6" s="1"/>
    </row>
    <row r="7" spans="1:21" ht="20.100000000000001" customHeight="1" x14ac:dyDescent="0.2">
      <c r="A7" s="30"/>
      <c r="B7" s="2">
        <v>5</v>
      </c>
      <c r="C7" s="1" t="s">
        <v>664</v>
      </c>
      <c r="D7" s="1" t="s">
        <v>974</v>
      </c>
      <c r="E7" s="1"/>
      <c r="F7" s="1"/>
      <c r="G7" s="1"/>
      <c r="H7" s="1"/>
      <c r="I7" s="1" t="s">
        <v>729</v>
      </c>
      <c r="J7" s="1" t="s">
        <v>730</v>
      </c>
      <c r="K7" s="1" t="s">
        <v>731</v>
      </c>
      <c r="L7" s="1" t="s">
        <v>730</v>
      </c>
      <c r="M7" s="1"/>
      <c r="N7" s="1"/>
      <c r="O7" s="1"/>
      <c r="P7" s="1"/>
      <c r="Q7" s="1"/>
      <c r="R7" s="1"/>
      <c r="S7" s="1"/>
      <c r="T7" s="1"/>
      <c r="U7" s="1"/>
    </row>
    <row r="8" spans="1:21" ht="20.100000000000001" customHeight="1" x14ac:dyDescent="0.2">
      <c r="A8" s="30"/>
      <c r="B8" s="2">
        <v>6</v>
      </c>
      <c r="C8" s="1" t="s">
        <v>665</v>
      </c>
      <c r="D8" s="1" t="s">
        <v>975</v>
      </c>
      <c r="E8" s="1"/>
      <c r="F8" s="1"/>
      <c r="G8" s="1"/>
      <c r="H8" s="1"/>
      <c r="I8" s="1" t="s">
        <v>732</v>
      </c>
      <c r="J8" s="1" t="s">
        <v>733</v>
      </c>
      <c r="K8" s="1" t="s">
        <v>734</v>
      </c>
      <c r="L8" s="1" t="s">
        <v>733</v>
      </c>
      <c r="M8" s="1"/>
      <c r="N8" s="1"/>
      <c r="O8" s="1"/>
      <c r="P8" s="1"/>
      <c r="Q8" s="1"/>
      <c r="R8" s="1"/>
      <c r="S8" s="1"/>
      <c r="T8" s="1"/>
      <c r="U8" s="1"/>
    </row>
    <row r="9" spans="1:21" ht="20.100000000000001" customHeight="1" x14ac:dyDescent="0.2">
      <c r="A9" s="30"/>
      <c r="B9" s="2">
        <v>7</v>
      </c>
      <c r="C9" s="1" t="s">
        <v>666</v>
      </c>
      <c r="D9" s="1" t="s">
        <v>976</v>
      </c>
      <c r="E9" s="1"/>
      <c r="F9" s="1"/>
      <c r="G9" s="1"/>
      <c r="H9" s="1"/>
      <c r="I9" s="1"/>
      <c r="J9" s="1"/>
      <c r="K9" s="1"/>
      <c r="L9" s="1"/>
      <c r="M9" s="26" t="s">
        <v>720</v>
      </c>
      <c r="N9" s="30" t="s">
        <v>920</v>
      </c>
      <c r="O9" s="26" t="s">
        <v>721</v>
      </c>
      <c r="P9" s="30" t="s">
        <v>920</v>
      </c>
      <c r="Q9" s="1"/>
      <c r="R9" s="1"/>
      <c r="S9" s="1"/>
      <c r="T9" s="1"/>
      <c r="U9" s="1"/>
    </row>
    <row r="10" spans="1:21" ht="20.100000000000001" customHeight="1" x14ac:dyDescent="0.2">
      <c r="A10" s="30"/>
      <c r="B10" s="2">
        <v>8</v>
      </c>
      <c r="C10" s="1" t="s">
        <v>667</v>
      </c>
      <c r="D10" s="1" t="s">
        <v>977</v>
      </c>
      <c r="E10" s="1"/>
      <c r="F10" s="1"/>
      <c r="G10" s="1"/>
      <c r="H10" s="1"/>
      <c r="I10" s="1"/>
      <c r="J10" s="1"/>
      <c r="K10" s="1"/>
      <c r="L10" s="1"/>
      <c r="M10" s="26"/>
      <c r="N10" s="30"/>
      <c r="O10" s="26"/>
      <c r="P10" s="30"/>
      <c r="Q10" s="1"/>
      <c r="R10" s="1"/>
      <c r="S10" s="1"/>
      <c r="T10" s="1"/>
      <c r="U10" s="1"/>
    </row>
    <row r="11" spans="1:21" ht="20.100000000000001" customHeight="1" x14ac:dyDescent="0.2">
      <c r="A11" s="30"/>
      <c r="B11" s="2">
        <v>9</v>
      </c>
      <c r="C11" s="1" t="s">
        <v>668</v>
      </c>
      <c r="D11" s="1" t="s">
        <v>978</v>
      </c>
      <c r="E11" s="1"/>
      <c r="F11" s="1"/>
      <c r="G11" s="1"/>
      <c r="H11" s="1"/>
      <c r="I11" s="1"/>
      <c r="J11" s="1"/>
      <c r="K11" s="1"/>
      <c r="L11" s="1"/>
      <c r="M11" s="26" t="s">
        <v>724</v>
      </c>
      <c r="N11" s="30" t="s">
        <v>922</v>
      </c>
      <c r="O11" s="30" t="s">
        <v>726</v>
      </c>
      <c r="P11" s="30" t="s">
        <v>922</v>
      </c>
      <c r="Q11" s="1"/>
      <c r="R11" s="1"/>
      <c r="S11" s="1"/>
      <c r="T11" s="1"/>
      <c r="U11" s="1"/>
    </row>
    <row r="12" spans="1:21" ht="20.100000000000001" customHeight="1" x14ac:dyDescent="0.2">
      <c r="A12" s="30"/>
      <c r="B12" s="2">
        <v>10</v>
      </c>
      <c r="C12" s="1" t="s">
        <v>669</v>
      </c>
      <c r="D12" s="1" t="s">
        <v>979</v>
      </c>
      <c r="E12" s="1"/>
      <c r="F12" s="1"/>
      <c r="G12" s="1"/>
      <c r="H12" s="1"/>
      <c r="I12" s="1"/>
      <c r="J12" s="1"/>
      <c r="K12" s="1"/>
      <c r="L12" s="1"/>
      <c r="M12" s="26"/>
      <c r="N12" s="30"/>
      <c r="O12" s="30"/>
      <c r="P12" s="30"/>
      <c r="Q12" s="1"/>
      <c r="R12" s="1"/>
      <c r="S12" s="1"/>
      <c r="T12" s="1"/>
      <c r="U12" s="1"/>
    </row>
    <row r="13" spans="1:21" ht="20.100000000000001" customHeight="1" x14ac:dyDescent="0.2">
      <c r="A13" s="30"/>
      <c r="B13" s="2">
        <v>11</v>
      </c>
      <c r="C13" s="1" t="s">
        <v>965</v>
      </c>
      <c r="D13" s="1" t="s">
        <v>980</v>
      </c>
      <c r="E13" s="1"/>
      <c r="F13" s="1"/>
      <c r="G13" s="1"/>
      <c r="H13" s="1"/>
      <c r="I13" s="1"/>
      <c r="J13" s="1"/>
      <c r="K13" s="1"/>
      <c r="L13" s="1"/>
      <c r="M13" s="1" t="s">
        <v>727</v>
      </c>
      <c r="N13" s="1" t="s">
        <v>725</v>
      </c>
      <c r="O13" s="1" t="s">
        <v>728</v>
      </c>
      <c r="P13" s="1" t="s">
        <v>725</v>
      </c>
      <c r="Q13" s="1"/>
      <c r="R13" s="1"/>
      <c r="S13" s="1"/>
      <c r="T13" s="1"/>
      <c r="U13" s="1"/>
    </row>
    <row r="14" spans="1:21" ht="20.100000000000001" customHeight="1" x14ac:dyDescent="0.2">
      <c r="A14" s="30"/>
      <c r="B14" s="2">
        <v>12</v>
      </c>
      <c r="C14" s="1" t="s">
        <v>966</v>
      </c>
      <c r="D14" s="1" t="s">
        <v>981</v>
      </c>
      <c r="E14" s="2"/>
      <c r="F14" s="2" t="s">
        <v>735</v>
      </c>
      <c r="G14" s="1"/>
      <c r="H14" s="2" t="s">
        <v>735</v>
      </c>
      <c r="I14" s="1"/>
      <c r="J14" s="2" t="s">
        <v>735</v>
      </c>
      <c r="K14" s="1"/>
      <c r="L14" s="2" t="s">
        <v>735</v>
      </c>
      <c r="M14" s="1"/>
      <c r="N14" s="2" t="s">
        <v>735</v>
      </c>
      <c r="O14" s="1"/>
      <c r="P14" s="2" t="s">
        <v>735</v>
      </c>
      <c r="Q14" s="1"/>
      <c r="R14" s="2" t="s">
        <v>735</v>
      </c>
      <c r="S14" s="1"/>
      <c r="T14" s="2" t="s">
        <v>735</v>
      </c>
      <c r="U14" s="2" t="s">
        <v>735</v>
      </c>
    </row>
    <row r="15" spans="1:21" ht="20.100000000000001" customHeight="1" x14ac:dyDescent="0.2">
      <c r="E15" s="4"/>
      <c r="F15" s="4"/>
    </row>
  </sheetData>
  <mergeCells count="26">
    <mergeCell ref="A2:A14"/>
    <mergeCell ref="I3:I4"/>
    <mergeCell ref="J3:J4"/>
    <mergeCell ref="K3:K4"/>
    <mergeCell ref="L3:L4"/>
    <mergeCell ref="I5:I6"/>
    <mergeCell ref="J5:J6"/>
    <mergeCell ref="Q1:R1"/>
    <mergeCell ref="S1:T1"/>
    <mergeCell ref="E1:F1"/>
    <mergeCell ref="G1:H1"/>
    <mergeCell ref="I1:J1"/>
    <mergeCell ref="K1:L1"/>
    <mergeCell ref="M1:N1"/>
    <mergeCell ref="O1:P1"/>
    <mergeCell ref="M11:M12"/>
    <mergeCell ref="N11:N12"/>
    <mergeCell ref="O11:O12"/>
    <mergeCell ref="P11:P12"/>
    <mergeCell ref="C1:D1"/>
    <mergeCell ref="P9:P10"/>
    <mergeCell ref="K5:K6"/>
    <mergeCell ref="L5:L6"/>
    <mergeCell ref="M9:M10"/>
    <mergeCell ref="N9:N10"/>
    <mergeCell ref="O9:O10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D51BD-DF99-49D5-AD76-C37E7BF19741}">
  <dimension ref="A1:F13"/>
  <sheetViews>
    <sheetView workbookViewId="0"/>
  </sheetViews>
  <sheetFormatPr defaultRowHeight="18" customHeight="1" x14ac:dyDescent="0.2"/>
  <cols>
    <col min="1" max="2" width="9" style="7"/>
    <col min="3" max="3" width="17.25" style="7" bestFit="1" customWidth="1"/>
    <col min="4" max="4" width="10.5" style="7" customWidth="1"/>
    <col min="5" max="16384" width="9" style="7"/>
  </cols>
  <sheetData>
    <row r="1" spans="1:6" s="10" customFormat="1" ht="18" customHeight="1" x14ac:dyDescent="0.2">
      <c r="A1" s="9" t="s">
        <v>1</v>
      </c>
      <c r="B1" s="9" t="s">
        <v>167</v>
      </c>
      <c r="C1" s="9" t="s">
        <v>169</v>
      </c>
      <c r="D1" s="9" t="s">
        <v>168</v>
      </c>
      <c r="E1" s="9" t="s">
        <v>379</v>
      </c>
      <c r="F1" s="9" t="s">
        <v>0</v>
      </c>
    </row>
    <row r="2" spans="1:6" ht="18" customHeight="1" x14ac:dyDescent="0.2">
      <c r="A2" s="1">
        <v>1</v>
      </c>
      <c r="B2" s="1" t="s">
        <v>365</v>
      </c>
      <c r="C2" s="1" t="s">
        <v>377</v>
      </c>
      <c r="D2" s="1" t="s">
        <v>378</v>
      </c>
      <c r="E2" s="1" t="s">
        <v>369</v>
      </c>
      <c r="F2" s="1"/>
    </row>
    <row r="3" spans="1:6" ht="18" customHeight="1" x14ac:dyDescent="0.2">
      <c r="A3" s="1">
        <v>2</v>
      </c>
      <c r="B3" s="1" t="s">
        <v>368</v>
      </c>
      <c r="C3" s="1" t="s">
        <v>376</v>
      </c>
      <c r="D3" s="1" t="s">
        <v>378</v>
      </c>
      <c r="E3" s="1" t="s">
        <v>369</v>
      </c>
      <c r="F3" s="1"/>
    </row>
    <row r="4" spans="1:6" ht="18" customHeight="1" x14ac:dyDescent="0.2">
      <c r="A4" s="1">
        <v>3</v>
      </c>
      <c r="B4" s="1" t="s">
        <v>374</v>
      </c>
      <c r="C4" s="1" t="s">
        <v>372</v>
      </c>
      <c r="D4" s="1" t="s">
        <v>378</v>
      </c>
      <c r="E4" s="1" t="s">
        <v>371</v>
      </c>
      <c r="F4" s="1"/>
    </row>
    <row r="5" spans="1:6" ht="18" customHeight="1" x14ac:dyDescent="0.2">
      <c r="A5" s="1">
        <v>4</v>
      </c>
      <c r="B5" s="1" t="s">
        <v>375</v>
      </c>
      <c r="C5" s="1" t="s">
        <v>373</v>
      </c>
      <c r="D5" s="1" t="s">
        <v>378</v>
      </c>
      <c r="E5" s="1" t="s">
        <v>370</v>
      </c>
      <c r="F5" s="1"/>
    </row>
    <row r="6" spans="1:6" ht="18" customHeight="1" x14ac:dyDescent="0.2">
      <c r="A6" s="1">
        <v>5</v>
      </c>
      <c r="B6" s="1" t="s">
        <v>433</v>
      </c>
      <c r="C6" s="1" t="s">
        <v>439</v>
      </c>
      <c r="D6" s="1" t="s">
        <v>378</v>
      </c>
      <c r="E6" s="1" t="s">
        <v>545</v>
      </c>
      <c r="F6" s="1"/>
    </row>
    <row r="7" spans="1:6" ht="18" customHeight="1" x14ac:dyDescent="0.2">
      <c r="A7" s="1">
        <v>6</v>
      </c>
      <c r="B7" s="1" t="s">
        <v>434</v>
      </c>
      <c r="C7" s="1" t="s">
        <v>440</v>
      </c>
      <c r="D7" s="1" t="s">
        <v>378</v>
      </c>
      <c r="E7" s="1" t="s">
        <v>545</v>
      </c>
      <c r="F7" s="1"/>
    </row>
    <row r="8" spans="1:6" ht="18" customHeight="1" x14ac:dyDescent="0.2">
      <c r="A8" s="1">
        <v>7</v>
      </c>
      <c r="B8" s="1" t="s">
        <v>435</v>
      </c>
      <c r="C8" s="1" t="s">
        <v>441</v>
      </c>
      <c r="D8" s="1" t="s">
        <v>378</v>
      </c>
      <c r="E8" s="1" t="s">
        <v>545</v>
      </c>
      <c r="F8" s="1"/>
    </row>
    <row r="9" spans="1:6" ht="18" customHeight="1" x14ac:dyDescent="0.2">
      <c r="A9" s="1">
        <v>8</v>
      </c>
      <c r="B9" s="1" t="s">
        <v>436</v>
      </c>
      <c r="C9" s="1" t="s">
        <v>442</v>
      </c>
      <c r="D9" s="1" t="s">
        <v>378</v>
      </c>
      <c r="E9" s="1" t="s">
        <v>545</v>
      </c>
      <c r="F9" s="1"/>
    </row>
    <row r="10" spans="1:6" ht="18" customHeight="1" x14ac:dyDescent="0.2">
      <c r="A10" s="1">
        <v>9</v>
      </c>
      <c r="B10" s="1" t="s">
        <v>437</v>
      </c>
      <c r="C10" s="1" t="s">
        <v>443</v>
      </c>
      <c r="D10" s="1" t="s">
        <v>378</v>
      </c>
      <c r="E10" s="1" t="s">
        <v>545</v>
      </c>
      <c r="F10" s="1"/>
    </row>
    <row r="11" spans="1:6" ht="18" customHeight="1" x14ac:dyDescent="0.2">
      <c r="A11" s="1">
        <v>10</v>
      </c>
      <c r="B11" s="1" t="s">
        <v>438</v>
      </c>
      <c r="C11" s="1" t="s">
        <v>444</v>
      </c>
      <c r="D11" s="1" t="s">
        <v>378</v>
      </c>
      <c r="E11" s="1" t="s">
        <v>545</v>
      </c>
      <c r="F11" s="1"/>
    </row>
    <row r="12" spans="1:6" ht="18" customHeight="1" x14ac:dyDescent="0.2">
      <c r="A12" s="1">
        <v>11</v>
      </c>
      <c r="B12" s="1" t="s">
        <v>533</v>
      </c>
      <c r="C12" s="1" t="s">
        <v>542</v>
      </c>
      <c r="D12" s="1" t="s">
        <v>378</v>
      </c>
      <c r="E12" s="1" t="s">
        <v>545</v>
      </c>
      <c r="F12" s="1"/>
    </row>
    <row r="13" spans="1:6" ht="18" customHeight="1" x14ac:dyDescent="0.2">
      <c r="A13" s="1">
        <v>12</v>
      </c>
      <c r="B13" s="1" t="s">
        <v>543</v>
      </c>
      <c r="C13" s="1" t="s">
        <v>544</v>
      </c>
      <c r="D13" s="1" t="s">
        <v>378</v>
      </c>
      <c r="E13" s="1" t="s">
        <v>545</v>
      </c>
      <c r="F13" s="1"/>
    </row>
  </sheetData>
  <phoneticPr fontId="1" type="noConversion"/>
  <pageMargins left="0.7" right="0.7" top="0.75" bottom="0.75" header="0.3" footer="0.3"/>
  <pageSetup paperSize="9" orientation="portrait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E3C3B-E411-4C09-9B7D-32F34F924876}">
  <dimension ref="A1:T25"/>
  <sheetViews>
    <sheetView workbookViewId="0">
      <selection sqref="A1:A2"/>
    </sheetView>
  </sheetViews>
  <sheetFormatPr defaultRowHeight="18" customHeight="1" x14ac:dyDescent="0.2"/>
  <cols>
    <col min="1" max="2" width="4.5" style="7" bestFit="1" customWidth="1"/>
    <col min="3" max="3" width="7.125" style="7" bestFit="1" customWidth="1"/>
    <col min="4" max="4" width="7.5" style="7" bestFit="1" customWidth="1"/>
    <col min="5" max="8" width="4.5" style="7" bestFit="1" customWidth="1"/>
    <col min="9" max="9" width="6" style="7" customWidth="1"/>
    <col min="10" max="10" width="5.25" style="7" customWidth="1"/>
    <col min="11" max="11" width="5.25" style="7" bestFit="1" customWidth="1"/>
    <col min="12" max="12" width="4.5" style="7" bestFit="1" customWidth="1"/>
    <col min="13" max="13" width="5.25" style="7" bestFit="1" customWidth="1"/>
    <col min="14" max="14" width="4.5" style="7" bestFit="1" customWidth="1"/>
    <col min="15" max="15" width="6.75" style="7" bestFit="1" customWidth="1"/>
    <col min="16" max="16" width="4.5" style="7" bestFit="1" customWidth="1"/>
    <col min="17" max="17" width="6" style="7" bestFit="1" customWidth="1"/>
    <col min="18" max="20" width="4.5" style="7" bestFit="1" customWidth="1"/>
    <col min="21" max="16384" width="9" style="7"/>
  </cols>
  <sheetData>
    <row r="1" spans="1:20" s="10" customFormat="1" ht="18" customHeight="1" x14ac:dyDescent="0.2">
      <c r="A1" s="49" t="s">
        <v>1</v>
      </c>
      <c r="B1" s="49" t="s">
        <v>191</v>
      </c>
      <c r="C1" s="49"/>
      <c r="D1" s="49"/>
      <c r="E1" s="49" t="s">
        <v>184</v>
      </c>
      <c r="F1" s="49"/>
      <c r="G1" s="49" t="s">
        <v>188</v>
      </c>
      <c r="H1" s="49"/>
      <c r="I1" s="49" t="s">
        <v>185</v>
      </c>
      <c r="J1" s="49"/>
      <c r="K1" s="49" t="s">
        <v>186</v>
      </c>
      <c r="L1" s="49"/>
      <c r="M1" s="49" t="s">
        <v>187</v>
      </c>
      <c r="N1" s="49"/>
      <c r="O1" s="50" t="s">
        <v>192</v>
      </c>
      <c r="P1" s="51"/>
      <c r="Q1" s="52"/>
      <c r="R1" s="46" t="s">
        <v>226</v>
      </c>
      <c r="S1" s="46" t="s">
        <v>225</v>
      </c>
      <c r="T1" s="48" t="s">
        <v>47</v>
      </c>
    </row>
    <row r="2" spans="1:20" s="10" customFormat="1" ht="18" customHeight="1" x14ac:dyDescent="0.2">
      <c r="A2" s="49"/>
      <c r="B2" s="9" t="s">
        <v>8</v>
      </c>
      <c r="C2" s="9" t="s">
        <v>183</v>
      </c>
      <c r="D2" s="9" t="s">
        <v>2</v>
      </c>
      <c r="E2" s="9" t="s">
        <v>189</v>
      </c>
      <c r="F2" s="9" t="s">
        <v>190</v>
      </c>
      <c r="G2" s="9" t="s">
        <v>189</v>
      </c>
      <c r="H2" s="9" t="s">
        <v>190</v>
      </c>
      <c r="I2" s="9" t="s">
        <v>189</v>
      </c>
      <c r="J2" s="9" t="s">
        <v>190</v>
      </c>
      <c r="K2" s="9" t="s">
        <v>189</v>
      </c>
      <c r="L2" s="9" t="s">
        <v>190</v>
      </c>
      <c r="M2" s="9" t="s">
        <v>189</v>
      </c>
      <c r="N2" s="9" t="s">
        <v>190</v>
      </c>
      <c r="O2" s="9" t="s">
        <v>61</v>
      </c>
      <c r="P2" s="9" t="s">
        <v>193</v>
      </c>
      <c r="Q2" s="9" t="s">
        <v>194</v>
      </c>
      <c r="R2" s="47"/>
      <c r="S2" s="47"/>
      <c r="T2" s="47"/>
    </row>
    <row r="3" spans="1:20" ht="18" customHeight="1" x14ac:dyDescent="0.2">
      <c r="A3" s="1">
        <v>1</v>
      </c>
      <c r="B3" s="1" t="s">
        <v>195</v>
      </c>
      <c r="C3" s="1" t="s">
        <v>102</v>
      </c>
      <c r="D3" s="1" t="s">
        <v>45</v>
      </c>
      <c r="E3" s="1">
        <v>0</v>
      </c>
      <c r="F3" s="1">
        <v>5</v>
      </c>
      <c r="G3" s="1">
        <v>0</v>
      </c>
      <c r="H3" s="1">
        <v>4000</v>
      </c>
      <c r="I3" s="1">
        <v>0</v>
      </c>
      <c r="J3" s="1">
        <v>225</v>
      </c>
      <c r="K3" s="1">
        <v>-10</v>
      </c>
      <c r="L3" s="1">
        <v>10</v>
      </c>
      <c r="M3" s="1">
        <v>-8000</v>
      </c>
      <c r="N3" s="1">
        <v>8000</v>
      </c>
      <c r="O3" s="1" t="s">
        <v>64</v>
      </c>
      <c r="P3" s="1" t="s">
        <v>68</v>
      </c>
      <c r="Q3" s="1" t="s">
        <v>76</v>
      </c>
      <c r="R3" s="1"/>
      <c r="S3" s="1"/>
      <c r="T3" s="1"/>
    </row>
    <row r="4" spans="1:20" ht="18" customHeight="1" x14ac:dyDescent="0.2">
      <c r="A4" s="1">
        <v>2</v>
      </c>
      <c r="B4" s="1" t="s">
        <v>196</v>
      </c>
      <c r="C4" s="1" t="s">
        <v>103</v>
      </c>
      <c r="D4" s="1" t="s">
        <v>45</v>
      </c>
      <c r="E4" s="1">
        <v>0</v>
      </c>
      <c r="F4" s="1">
        <v>5</v>
      </c>
      <c r="G4" s="1">
        <v>0</v>
      </c>
      <c r="H4" s="1">
        <v>4000</v>
      </c>
      <c r="I4" s="1">
        <v>0</v>
      </c>
      <c r="J4" s="1">
        <v>225</v>
      </c>
      <c r="K4" s="1">
        <v>-10</v>
      </c>
      <c r="L4" s="1">
        <v>10</v>
      </c>
      <c r="M4" s="1">
        <v>-8000</v>
      </c>
      <c r="N4" s="1">
        <v>8000</v>
      </c>
      <c r="O4" s="1" t="s">
        <v>64</v>
      </c>
      <c r="P4" s="1" t="s">
        <v>69</v>
      </c>
      <c r="Q4" s="1" t="s">
        <v>77</v>
      </c>
      <c r="R4" s="1"/>
      <c r="S4" s="1"/>
      <c r="T4" s="1"/>
    </row>
    <row r="5" spans="1:20" ht="18" customHeight="1" x14ac:dyDescent="0.2">
      <c r="A5" s="1">
        <v>3</v>
      </c>
      <c r="B5" s="1" t="s">
        <v>197</v>
      </c>
      <c r="C5" s="1" t="s">
        <v>104</v>
      </c>
      <c r="D5" s="1" t="s">
        <v>45</v>
      </c>
      <c r="E5" s="1">
        <v>0</v>
      </c>
      <c r="F5" s="1">
        <v>5</v>
      </c>
      <c r="G5" s="1">
        <v>0</v>
      </c>
      <c r="H5" s="1">
        <v>4000</v>
      </c>
      <c r="I5" s="1">
        <v>0</v>
      </c>
      <c r="J5" s="1">
        <v>225</v>
      </c>
      <c r="K5" s="1">
        <v>-10</v>
      </c>
      <c r="L5" s="1">
        <v>10</v>
      </c>
      <c r="M5" s="1">
        <v>-8000</v>
      </c>
      <c r="N5" s="1">
        <v>8000</v>
      </c>
      <c r="O5" s="1" t="s">
        <v>64</v>
      </c>
      <c r="P5" s="1" t="s">
        <v>70</v>
      </c>
      <c r="Q5" s="1" t="s">
        <v>78</v>
      </c>
      <c r="R5" s="1"/>
      <c r="S5" s="1"/>
      <c r="T5" s="1"/>
    </row>
    <row r="6" spans="1:20" ht="18" customHeight="1" x14ac:dyDescent="0.2">
      <c r="A6" s="1">
        <v>4</v>
      </c>
      <c r="B6" s="1" t="s">
        <v>198</v>
      </c>
      <c r="C6" s="1" t="s">
        <v>105</v>
      </c>
      <c r="D6" s="1" t="s">
        <v>45</v>
      </c>
      <c r="E6" s="1">
        <v>0</v>
      </c>
      <c r="F6" s="1">
        <v>5</v>
      </c>
      <c r="G6" s="1">
        <v>0</v>
      </c>
      <c r="H6" s="1">
        <v>4000</v>
      </c>
      <c r="I6" s="1">
        <v>0</v>
      </c>
      <c r="J6" s="1">
        <v>225</v>
      </c>
      <c r="K6" s="1">
        <v>-10</v>
      </c>
      <c r="L6" s="1">
        <v>10</v>
      </c>
      <c r="M6" s="1">
        <v>-8000</v>
      </c>
      <c r="N6" s="1">
        <v>8000</v>
      </c>
      <c r="O6" s="1" t="s">
        <v>64</v>
      </c>
      <c r="P6" s="1" t="s">
        <v>71</v>
      </c>
      <c r="Q6" s="1" t="s">
        <v>79</v>
      </c>
      <c r="R6" s="1"/>
      <c r="S6" s="1"/>
      <c r="T6" s="1"/>
    </row>
    <row r="7" spans="1:20" ht="18" customHeight="1" x14ac:dyDescent="0.2">
      <c r="A7" s="1">
        <v>5</v>
      </c>
      <c r="B7" s="1" t="s">
        <v>199</v>
      </c>
      <c r="C7" s="1" t="s">
        <v>106</v>
      </c>
      <c r="D7" s="1" t="s">
        <v>45</v>
      </c>
      <c r="E7" s="1">
        <v>0</v>
      </c>
      <c r="F7" s="1">
        <v>5</v>
      </c>
      <c r="G7" s="1">
        <v>0</v>
      </c>
      <c r="H7" s="1">
        <v>4000</v>
      </c>
      <c r="I7" s="1">
        <v>0</v>
      </c>
      <c r="J7" s="1">
        <v>225</v>
      </c>
      <c r="K7" s="1">
        <v>-10</v>
      </c>
      <c r="L7" s="1">
        <v>10</v>
      </c>
      <c r="M7" s="1">
        <v>-8000</v>
      </c>
      <c r="N7" s="1">
        <v>8000</v>
      </c>
      <c r="O7" s="1" t="s">
        <v>65</v>
      </c>
      <c r="P7" s="1" t="s">
        <v>68</v>
      </c>
      <c r="Q7" s="1" t="s">
        <v>76</v>
      </c>
      <c r="R7" s="1"/>
      <c r="S7" s="1"/>
      <c r="T7" s="1"/>
    </row>
    <row r="8" spans="1:20" ht="18" customHeight="1" x14ac:dyDescent="0.2">
      <c r="A8" s="1">
        <v>6</v>
      </c>
      <c r="B8" s="1" t="s">
        <v>200</v>
      </c>
      <c r="C8" s="1" t="s">
        <v>107</v>
      </c>
      <c r="D8" s="1" t="s">
        <v>45</v>
      </c>
      <c r="E8" s="1">
        <v>0</v>
      </c>
      <c r="F8" s="1">
        <v>5</v>
      </c>
      <c r="G8" s="1">
        <v>0</v>
      </c>
      <c r="H8" s="1">
        <v>4000</v>
      </c>
      <c r="I8" s="1">
        <v>0</v>
      </c>
      <c r="J8" s="1">
        <v>225</v>
      </c>
      <c r="K8" s="1">
        <v>-10</v>
      </c>
      <c r="L8" s="1">
        <v>10</v>
      </c>
      <c r="M8" s="1">
        <v>-8000</v>
      </c>
      <c r="N8" s="1">
        <v>8000</v>
      </c>
      <c r="O8" s="1" t="s">
        <v>65</v>
      </c>
      <c r="P8" s="1" t="s">
        <v>69</v>
      </c>
      <c r="Q8" s="1" t="s">
        <v>77</v>
      </c>
      <c r="R8" s="1"/>
      <c r="S8" s="1" t="s">
        <v>211</v>
      </c>
      <c r="T8" s="1"/>
    </row>
    <row r="9" spans="1:20" ht="18" customHeight="1" x14ac:dyDescent="0.2">
      <c r="A9" s="1">
        <v>7</v>
      </c>
      <c r="B9" s="1" t="s">
        <v>201</v>
      </c>
      <c r="C9" s="1" t="s">
        <v>108</v>
      </c>
      <c r="D9" s="1" t="s">
        <v>45</v>
      </c>
      <c r="E9" s="1">
        <v>0</v>
      </c>
      <c r="F9" s="1">
        <v>5</v>
      </c>
      <c r="G9" s="1">
        <v>0</v>
      </c>
      <c r="H9" s="1">
        <v>4000</v>
      </c>
      <c r="I9" s="1">
        <v>0</v>
      </c>
      <c r="J9" s="1">
        <v>225</v>
      </c>
      <c r="K9" s="1">
        <v>-10</v>
      </c>
      <c r="L9" s="1">
        <v>10</v>
      </c>
      <c r="M9" s="1">
        <v>-8000</v>
      </c>
      <c r="N9" s="1">
        <v>8000</v>
      </c>
      <c r="O9" s="1" t="s">
        <v>65</v>
      </c>
      <c r="P9" s="1" t="s">
        <v>70</v>
      </c>
      <c r="Q9" s="1" t="s">
        <v>78</v>
      </c>
      <c r="R9" s="1"/>
      <c r="S9" s="1" t="s">
        <v>222</v>
      </c>
      <c r="T9" s="1"/>
    </row>
    <row r="10" spans="1:20" ht="18" customHeight="1" x14ac:dyDescent="0.2">
      <c r="A10" s="1">
        <v>8</v>
      </c>
      <c r="B10" s="1" t="s">
        <v>202</v>
      </c>
      <c r="C10" s="1" t="s">
        <v>109</v>
      </c>
      <c r="D10" s="1" t="s">
        <v>45</v>
      </c>
      <c r="E10" s="1">
        <v>0</v>
      </c>
      <c r="F10" s="1">
        <v>5</v>
      </c>
      <c r="G10" s="1">
        <v>0</v>
      </c>
      <c r="H10" s="1">
        <v>4000</v>
      </c>
      <c r="I10" s="1">
        <v>0</v>
      </c>
      <c r="J10" s="1">
        <v>225</v>
      </c>
      <c r="K10" s="1">
        <v>-10</v>
      </c>
      <c r="L10" s="1">
        <v>10</v>
      </c>
      <c r="M10" s="1">
        <v>-8000</v>
      </c>
      <c r="N10" s="1">
        <v>8000</v>
      </c>
      <c r="O10" s="1" t="s">
        <v>65</v>
      </c>
      <c r="P10" s="1" t="s">
        <v>71</v>
      </c>
      <c r="Q10" s="1" t="s">
        <v>79</v>
      </c>
      <c r="R10" s="1"/>
      <c r="S10" s="1" t="s">
        <v>223</v>
      </c>
      <c r="T10" s="1"/>
    </row>
    <row r="11" spans="1:20" ht="18" customHeight="1" x14ac:dyDescent="0.2">
      <c r="A11" s="1">
        <v>9</v>
      </c>
      <c r="B11" s="1" t="s">
        <v>203</v>
      </c>
      <c r="C11" s="1" t="s">
        <v>110</v>
      </c>
      <c r="D11" s="1" t="s">
        <v>45</v>
      </c>
      <c r="E11" s="1">
        <v>0</v>
      </c>
      <c r="F11" s="1">
        <v>5</v>
      </c>
      <c r="G11" s="1">
        <v>0</v>
      </c>
      <c r="H11" s="1">
        <v>4000</v>
      </c>
      <c r="I11" s="1">
        <v>0</v>
      </c>
      <c r="J11" s="1">
        <v>225</v>
      </c>
      <c r="K11" s="1">
        <v>-10</v>
      </c>
      <c r="L11" s="1">
        <v>10</v>
      </c>
      <c r="M11" s="1">
        <v>-8000</v>
      </c>
      <c r="N11" s="1">
        <v>8000</v>
      </c>
      <c r="O11" s="1" t="s">
        <v>66</v>
      </c>
      <c r="P11" s="1" t="s">
        <v>68</v>
      </c>
      <c r="Q11" s="1" t="s">
        <v>76</v>
      </c>
      <c r="R11" s="1"/>
      <c r="S11" s="1" t="s">
        <v>224</v>
      </c>
      <c r="T11" s="1"/>
    </row>
    <row r="12" spans="1:20" ht="18" customHeight="1" x14ac:dyDescent="0.2">
      <c r="A12" s="1">
        <v>10</v>
      </c>
      <c r="B12" s="1" t="s">
        <v>204</v>
      </c>
      <c r="C12" s="1" t="s">
        <v>111</v>
      </c>
      <c r="D12" s="1" t="s">
        <v>45</v>
      </c>
      <c r="E12" s="1">
        <v>0</v>
      </c>
      <c r="F12" s="1">
        <v>5</v>
      </c>
      <c r="G12" s="1">
        <v>0</v>
      </c>
      <c r="H12" s="1">
        <v>4000</v>
      </c>
      <c r="I12" s="1">
        <v>0</v>
      </c>
      <c r="J12" s="1">
        <v>100</v>
      </c>
      <c r="K12" s="1">
        <v>-10</v>
      </c>
      <c r="L12" s="1">
        <v>10</v>
      </c>
      <c r="M12" s="1">
        <v>-8000</v>
      </c>
      <c r="N12" s="1">
        <v>8000</v>
      </c>
      <c r="O12" s="1" t="s">
        <v>66</v>
      </c>
      <c r="P12" s="1" t="s">
        <v>69</v>
      </c>
      <c r="Q12" s="1" t="s">
        <v>77</v>
      </c>
      <c r="R12" s="1"/>
      <c r="S12" s="1" t="s">
        <v>219</v>
      </c>
      <c r="T12" s="1"/>
    </row>
    <row r="13" spans="1:20" ht="18" customHeight="1" x14ac:dyDescent="0.2">
      <c r="A13" s="1">
        <v>11</v>
      </c>
      <c r="B13" s="1" t="s">
        <v>205</v>
      </c>
      <c r="C13" s="1" t="s">
        <v>112</v>
      </c>
      <c r="D13" s="1" t="s">
        <v>45</v>
      </c>
      <c r="E13" s="1">
        <v>0</v>
      </c>
      <c r="F13" s="1">
        <v>5</v>
      </c>
      <c r="G13" s="1">
        <v>0</v>
      </c>
      <c r="H13" s="1">
        <v>4000</v>
      </c>
      <c r="I13" s="1">
        <v>0</v>
      </c>
      <c r="J13" s="1">
        <v>100</v>
      </c>
      <c r="K13" s="1">
        <v>-10</v>
      </c>
      <c r="L13" s="1">
        <v>10</v>
      </c>
      <c r="M13" s="1">
        <v>-8000</v>
      </c>
      <c r="N13" s="1">
        <v>8000</v>
      </c>
      <c r="O13" s="1" t="s">
        <v>66</v>
      </c>
      <c r="P13" s="1" t="s">
        <v>70</v>
      </c>
      <c r="Q13" s="1" t="s">
        <v>78</v>
      </c>
      <c r="R13" s="1"/>
      <c r="S13" s="1" t="s">
        <v>220</v>
      </c>
      <c r="T13" s="1"/>
    </row>
    <row r="14" spans="1:20" ht="18" customHeight="1" x14ac:dyDescent="0.2">
      <c r="A14" s="1">
        <v>12</v>
      </c>
      <c r="B14" s="1" t="s">
        <v>206</v>
      </c>
      <c r="C14" s="1" t="s">
        <v>113</v>
      </c>
      <c r="D14" s="1" t="s">
        <v>45</v>
      </c>
      <c r="E14" s="1">
        <v>0</v>
      </c>
      <c r="F14" s="1">
        <v>5</v>
      </c>
      <c r="G14" s="1">
        <v>0</v>
      </c>
      <c r="H14" s="1">
        <v>4000</v>
      </c>
      <c r="I14" s="1">
        <v>0</v>
      </c>
      <c r="J14" s="1">
        <v>100</v>
      </c>
      <c r="K14" s="1">
        <v>-10</v>
      </c>
      <c r="L14" s="1">
        <v>10</v>
      </c>
      <c r="M14" s="1">
        <v>-8000</v>
      </c>
      <c r="N14" s="1">
        <v>8000</v>
      </c>
      <c r="O14" s="1" t="s">
        <v>66</v>
      </c>
      <c r="P14" s="1" t="s">
        <v>71</v>
      </c>
      <c r="Q14" s="1" t="s">
        <v>79</v>
      </c>
      <c r="R14" s="1"/>
      <c r="S14" s="1" t="s">
        <v>221</v>
      </c>
      <c r="T14" s="1"/>
    </row>
    <row r="15" spans="1:20" ht="18" customHeight="1" x14ac:dyDescent="0.2">
      <c r="A15" s="1">
        <v>13</v>
      </c>
      <c r="B15" s="1" t="s">
        <v>207</v>
      </c>
      <c r="C15" s="1" t="s">
        <v>114</v>
      </c>
      <c r="D15" s="1" t="s">
        <v>46</v>
      </c>
      <c r="E15" s="1">
        <v>4</v>
      </c>
      <c r="F15" s="1">
        <v>20</v>
      </c>
      <c r="G15" s="1">
        <v>0</v>
      </c>
      <c r="H15" s="1">
        <v>4000</v>
      </c>
      <c r="I15" s="1">
        <v>-600</v>
      </c>
      <c r="J15" s="1">
        <v>600</v>
      </c>
      <c r="K15" s="1">
        <v>-12</v>
      </c>
      <c r="L15" s="1">
        <v>20</v>
      </c>
      <c r="M15" s="1">
        <v>-8000</v>
      </c>
      <c r="N15" s="1">
        <v>8000</v>
      </c>
      <c r="O15" s="1" t="s">
        <v>67</v>
      </c>
      <c r="P15" s="1" t="s">
        <v>68</v>
      </c>
      <c r="Q15" s="1" t="s">
        <v>80</v>
      </c>
      <c r="R15" s="1"/>
      <c r="S15" s="1"/>
      <c r="T15" s="1"/>
    </row>
    <row r="16" spans="1:20" ht="18" customHeight="1" x14ac:dyDescent="0.2">
      <c r="A16" s="1">
        <v>14</v>
      </c>
      <c r="B16" s="1" t="s">
        <v>208</v>
      </c>
      <c r="C16" s="1" t="s">
        <v>115</v>
      </c>
      <c r="D16" s="1" t="s">
        <v>46</v>
      </c>
      <c r="E16" s="1">
        <v>4</v>
      </c>
      <c r="F16" s="1">
        <v>20</v>
      </c>
      <c r="G16" s="1">
        <v>0</v>
      </c>
      <c r="H16" s="1">
        <v>4000</v>
      </c>
      <c r="I16" s="1">
        <v>-12000</v>
      </c>
      <c r="J16" s="1">
        <v>12000</v>
      </c>
      <c r="K16" s="1">
        <v>-12</v>
      </c>
      <c r="L16" s="1">
        <v>20</v>
      </c>
      <c r="M16" s="1">
        <v>-8000</v>
      </c>
      <c r="N16" s="1">
        <v>8000</v>
      </c>
      <c r="O16" s="1" t="s">
        <v>67</v>
      </c>
      <c r="P16" s="1" t="s">
        <v>69</v>
      </c>
      <c r="Q16" s="1" t="s">
        <v>81</v>
      </c>
      <c r="R16" s="1"/>
      <c r="S16" s="1"/>
      <c r="T16" s="1"/>
    </row>
    <row r="17" spans="1:20" ht="18" customHeight="1" x14ac:dyDescent="0.2">
      <c r="A17" s="1">
        <v>15</v>
      </c>
      <c r="B17" s="1" t="s">
        <v>209</v>
      </c>
      <c r="C17" s="1" t="s">
        <v>117</v>
      </c>
      <c r="D17" s="1" t="s">
        <v>46</v>
      </c>
      <c r="E17" s="1">
        <v>4</v>
      </c>
      <c r="F17" s="1">
        <v>20</v>
      </c>
      <c r="G17" s="1">
        <v>0</v>
      </c>
      <c r="H17" s="1">
        <v>4000</v>
      </c>
      <c r="I17" s="1">
        <v>0</v>
      </c>
      <c r="J17" s="1">
        <v>30</v>
      </c>
      <c r="K17" s="1">
        <v>-12</v>
      </c>
      <c r="L17" s="1">
        <v>20</v>
      </c>
      <c r="M17" s="1">
        <v>-8000</v>
      </c>
      <c r="N17" s="1">
        <v>8000</v>
      </c>
      <c r="O17" s="1" t="s">
        <v>67</v>
      </c>
      <c r="P17" s="1" t="s">
        <v>70</v>
      </c>
      <c r="Q17" s="1" t="s">
        <v>82</v>
      </c>
      <c r="R17" s="1"/>
      <c r="S17" s="1"/>
      <c r="T17" s="1"/>
    </row>
    <row r="18" spans="1:20" ht="18" customHeight="1" x14ac:dyDescent="0.2">
      <c r="A18" s="1">
        <v>16</v>
      </c>
      <c r="B18" s="1" t="s">
        <v>210</v>
      </c>
      <c r="C18" s="1" t="s">
        <v>116</v>
      </c>
      <c r="D18" s="1" t="s">
        <v>46</v>
      </c>
      <c r="E18" s="1">
        <v>4</v>
      </c>
      <c r="F18" s="1">
        <v>20</v>
      </c>
      <c r="G18" s="1">
        <v>0</v>
      </c>
      <c r="H18" s="1">
        <v>4000</v>
      </c>
      <c r="I18" s="1">
        <v>0</v>
      </c>
      <c r="J18" s="1">
        <v>30</v>
      </c>
      <c r="K18" s="1">
        <v>-12</v>
      </c>
      <c r="L18" s="1">
        <v>20</v>
      </c>
      <c r="M18" s="1">
        <v>-8000</v>
      </c>
      <c r="N18" s="1">
        <v>8000</v>
      </c>
      <c r="O18" s="1" t="s">
        <v>67</v>
      </c>
      <c r="P18" s="1" t="s">
        <v>71</v>
      </c>
      <c r="Q18" s="1" t="s">
        <v>83</v>
      </c>
      <c r="R18" s="1"/>
      <c r="S18" s="1"/>
      <c r="T18" s="1"/>
    </row>
    <row r="19" spans="1:20" ht="18" customHeight="1" x14ac:dyDescent="0.2">
      <c r="A19" s="7" t="s">
        <v>214</v>
      </c>
      <c r="B19" s="7" t="s">
        <v>215</v>
      </c>
      <c r="C19" s="7" t="s">
        <v>185</v>
      </c>
    </row>
    <row r="20" spans="1:20" ht="18" customHeight="1" x14ac:dyDescent="0.2">
      <c r="A20" s="7" t="s">
        <v>211</v>
      </c>
      <c r="B20" s="7">
        <v>1</v>
      </c>
      <c r="C20" s="7" t="s">
        <v>216</v>
      </c>
      <c r="I20" s="7">
        <v>0</v>
      </c>
      <c r="J20" s="7">
        <v>2000</v>
      </c>
      <c r="K20" s="7">
        <v>4000</v>
      </c>
    </row>
    <row r="21" spans="1:20" ht="18" customHeight="1" x14ac:dyDescent="0.2">
      <c r="A21" s="7" t="s">
        <v>212</v>
      </c>
      <c r="B21" s="7">
        <v>3</v>
      </c>
      <c r="C21" s="7" t="s">
        <v>216</v>
      </c>
      <c r="I21" s="7">
        <v>-600</v>
      </c>
      <c r="J21" s="7">
        <v>0</v>
      </c>
      <c r="K21" s="7">
        <v>600</v>
      </c>
    </row>
    <row r="22" spans="1:20" ht="18" customHeight="1" x14ac:dyDescent="0.2">
      <c r="A22" s="7" t="s">
        <v>213</v>
      </c>
      <c r="B22" s="7">
        <v>3</v>
      </c>
      <c r="C22" s="7" t="s">
        <v>217</v>
      </c>
    </row>
    <row r="23" spans="1:20" ht="18" customHeight="1" x14ac:dyDescent="0.2">
      <c r="A23" s="45" t="s">
        <v>218</v>
      </c>
      <c r="B23" s="45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13"/>
      <c r="S23" s="13"/>
    </row>
    <row r="24" spans="1:20" ht="18" customHeight="1" x14ac:dyDescent="0.2">
      <c r="I24" s="7">
        <v>0</v>
      </c>
      <c r="J24" s="7">
        <v>2000</v>
      </c>
      <c r="K24" s="7">
        <v>4000</v>
      </c>
    </row>
    <row r="25" spans="1:20" ht="18" customHeight="1" x14ac:dyDescent="0.2">
      <c r="I25" s="7">
        <v>-12000</v>
      </c>
      <c r="J25" s="7">
        <v>0</v>
      </c>
      <c r="K25" s="7">
        <v>12000</v>
      </c>
    </row>
  </sheetData>
  <mergeCells count="12">
    <mergeCell ref="A23:Q23"/>
    <mergeCell ref="S1:S2"/>
    <mergeCell ref="T1:T2"/>
    <mergeCell ref="R1:R2"/>
    <mergeCell ref="G1:H1"/>
    <mergeCell ref="A1:A2"/>
    <mergeCell ref="B1:D1"/>
    <mergeCell ref="O1:Q1"/>
    <mergeCell ref="E1:F1"/>
    <mergeCell ref="K1:L1"/>
    <mergeCell ref="I1:J1"/>
    <mergeCell ref="M1:N1"/>
  </mergeCells>
  <phoneticPr fontId="1" type="noConversion"/>
  <printOptions horizontalCentered="1"/>
  <pageMargins left="0.51181102362204722" right="0.51181102362204722" top="0.55118110236220474" bottom="0.55118110236220474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8</vt:i4>
      </vt:variant>
      <vt:variant>
        <vt:lpstr>命名范围</vt:lpstr>
      </vt:variant>
      <vt:variant>
        <vt:i4>5</vt:i4>
      </vt:variant>
    </vt:vector>
  </HeadingPairs>
  <TitlesOfParts>
    <vt:vector size="13" baseType="lpstr">
      <vt:lpstr>物理点</vt:lpstr>
      <vt:lpstr>M量</vt:lpstr>
      <vt:lpstr>普通D量</vt:lpstr>
      <vt:lpstr>程控指令</vt:lpstr>
      <vt:lpstr>层间变形指令</vt:lpstr>
      <vt:lpstr>阀门箱指令</vt:lpstr>
      <vt:lpstr>定时器</vt:lpstr>
      <vt:lpstr>传感器参数</vt:lpstr>
      <vt:lpstr>层间变形指令!Print_Titles</vt:lpstr>
      <vt:lpstr>程控指令!Print_Titles</vt:lpstr>
      <vt:lpstr>传感器参数!Print_Titles</vt:lpstr>
      <vt:lpstr>普通D量!Print_Titles</vt:lpstr>
      <vt:lpstr>物理点!Print_Titles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qiangge</dc:creator>
  <cp:lastModifiedBy>zhengqiang hao</cp:lastModifiedBy>
  <cp:lastPrinted>2021-12-20T06:20:32Z</cp:lastPrinted>
  <dcterms:created xsi:type="dcterms:W3CDTF">2015-06-05T18:17:20Z</dcterms:created>
  <dcterms:modified xsi:type="dcterms:W3CDTF">2024-08-10T12:18:07Z</dcterms:modified>
</cp:coreProperties>
</file>