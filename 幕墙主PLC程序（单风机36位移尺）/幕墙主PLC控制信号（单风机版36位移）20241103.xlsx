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ode\PLC\幕墙主PLC程序（单风机36位移尺）\"/>
    </mc:Choice>
  </mc:AlternateContent>
  <xr:revisionPtr revIDLastSave="0" documentId="13_ncr:1_{FCD0B747-1E57-461E-8F3C-7D7477033A56}" xr6:coauthVersionLast="47" xr6:coauthVersionMax="47" xr10:uidLastSave="{00000000-0000-0000-0000-000000000000}"/>
  <bookViews>
    <workbookView xWindow="-120" yWindow="-120" windowWidth="29040" windowHeight="15990" activeTab="2" xr2:uid="{4F962389-769A-43BA-BA7B-0ED218B8B32A}"/>
  </bookViews>
  <sheets>
    <sheet name="物理点" sheetId="1" r:id="rId1"/>
    <sheet name="M量" sheetId="2" r:id="rId2"/>
    <sheet name="普通D量" sheetId="4" r:id="rId3"/>
    <sheet name="程控指令" sheetId="9" r:id="rId4"/>
    <sheet name="层间变形指令" sheetId="10" r:id="rId5"/>
    <sheet name="阀门箱指令" sheetId="11" r:id="rId6"/>
    <sheet name="定时器" sheetId="7" r:id="rId7"/>
    <sheet name="传感器参数" sheetId="8" r:id="rId8"/>
    <sheet name="模块及地址" sheetId="12" r:id="rId9"/>
  </sheets>
  <definedNames>
    <definedName name="_xlnm.Print_Titles" localSheetId="4">层间变形指令!$1:$1</definedName>
    <definedName name="_xlnm.Print_Titles" localSheetId="3">程控指令!$1:$1</definedName>
    <definedName name="_xlnm.Print_Titles" localSheetId="7">传感器参数!$2:$2</definedName>
    <definedName name="_xlnm.Print_Titles" localSheetId="2">普通D量!$2:$2</definedName>
    <definedName name="_xlnm.Print_Titles" localSheetId="0">物理点!$1:$1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" i="4" l="1"/>
  <c r="D69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432" i="4" l="1"/>
  <c r="D25" i="10"/>
  <c r="D430" i="4"/>
  <c r="D431" i="4"/>
  <c r="D22" i="10"/>
  <c r="D23" i="10"/>
  <c r="D24" i="10"/>
  <c r="D410" i="4" l="1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409" i="4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389" i="4"/>
  <c r="D44" i="4"/>
  <c r="D45" i="4"/>
  <c r="D46" i="4"/>
  <c r="D43" i="4"/>
</calcChain>
</file>

<file path=xl/sharedStrings.xml><?xml version="1.0" encoding="utf-8"?>
<sst xmlns="http://schemas.openxmlformats.org/spreadsheetml/2006/main" count="2391" uniqueCount="1420">
  <si>
    <t>类型</t>
    <phoneticPr fontId="1" type="noConversion"/>
  </si>
  <si>
    <t>序号</t>
    <phoneticPr fontId="1" type="noConversion"/>
  </si>
  <si>
    <t>信号类型</t>
    <phoneticPr fontId="1" type="noConversion"/>
  </si>
  <si>
    <t>DI</t>
    <phoneticPr fontId="1" type="noConversion"/>
  </si>
  <si>
    <t>DO</t>
    <phoneticPr fontId="1" type="noConversion"/>
  </si>
  <si>
    <t>设备</t>
    <phoneticPr fontId="1" type="noConversion"/>
  </si>
  <si>
    <t>功用</t>
    <phoneticPr fontId="1" type="noConversion"/>
  </si>
  <si>
    <t>AI</t>
    <phoneticPr fontId="1" type="noConversion"/>
  </si>
  <si>
    <t>编号</t>
    <phoneticPr fontId="1" type="noConversion"/>
  </si>
  <si>
    <t>X5</t>
  </si>
  <si>
    <t>X6</t>
  </si>
  <si>
    <t>X7</t>
  </si>
  <si>
    <t>Y0</t>
    <phoneticPr fontId="1" type="noConversion"/>
  </si>
  <si>
    <t>Y1</t>
  </si>
  <si>
    <t>Y2</t>
  </si>
  <si>
    <t>Y3</t>
  </si>
  <si>
    <t>Y4</t>
  </si>
  <si>
    <t>Y5</t>
  </si>
  <si>
    <t>信号名称</t>
    <phoneticPr fontId="1" type="noConversion"/>
  </si>
  <si>
    <t>设备运行模式</t>
    <phoneticPr fontId="1" type="noConversion"/>
  </si>
  <si>
    <t>D300</t>
    <phoneticPr fontId="1" type="noConversion"/>
  </si>
  <si>
    <t>位移传感器2</t>
  </si>
  <si>
    <t>位移传感器3</t>
  </si>
  <si>
    <t>位移传感器4</t>
  </si>
  <si>
    <t>位移传感器5</t>
  </si>
  <si>
    <t>位移传感器6</t>
  </si>
  <si>
    <t>位移传感器7</t>
  </si>
  <si>
    <t>位移传感器8</t>
  </si>
  <si>
    <t>位移传感器9</t>
  </si>
  <si>
    <t>开关控制</t>
    <phoneticPr fontId="1" type="noConversion"/>
  </si>
  <si>
    <t>风速值</t>
    <phoneticPr fontId="1" type="noConversion"/>
  </si>
  <si>
    <t>风压值</t>
    <phoneticPr fontId="1" type="noConversion"/>
  </si>
  <si>
    <t>位移值</t>
    <phoneticPr fontId="1" type="noConversion"/>
  </si>
  <si>
    <t>AO</t>
    <phoneticPr fontId="1" type="noConversion"/>
  </si>
  <si>
    <t>X轴液压电磁阀</t>
    <phoneticPr fontId="1" type="noConversion"/>
  </si>
  <si>
    <t>Y轴液压电磁阀</t>
    <phoneticPr fontId="1" type="noConversion"/>
  </si>
  <si>
    <t>Z轴液压电磁阀</t>
    <phoneticPr fontId="1" type="noConversion"/>
  </si>
  <si>
    <t>变频器启停控制</t>
    <phoneticPr fontId="1" type="noConversion"/>
  </si>
  <si>
    <t>位移传感器10</t>
  </si>
  <si>
    <t>位移传感器11</t>
  </si>
  <si>
    <t>位移传感器12</t>
  </si>
  <si>
    <t>相序故障</t>
    <phoneticPr fontId="1" type="noConversion"/>
  </si>
  <si>
    <t>故障输入</t>
    <phoneticPr fontId="1" type="noConversion"/>
  </si>
  <si>
    <t>液压总电磁阀</t>
    <phoneticPr fontId="1" type="noConversion"/>
  </si>
  <si>
    <t>干接点</t>
    <phoneticPr fontId="1" type="noConversion"/>
  </si>
  <si>
    <t>0-5V</t>
    <phoneticPr fontId="1" type="noConversion"/>
  </si>
  <si>
    <t>4～20mA</t>
    <phoneticPr fontId="1" type="noConversion"/>
  </si>
  <si>
    <t>备注</t>
    <phoneticPr fontId="1" type="noConversion"/>
  </si>
  <si>
    <t>地址</t>
    <phoneticPr fontId="1" type="noConversion"/>
  </si>
  <si>
    <t>X0</t>
    <phoneticPr fontId="1" type="noConversion"/>
  </si>
  <si>
    <t>X1</t>
  </si>
  <si>
    <t>X2</t>
  </si>
  <si>
    <t>X3</t>
  </si>
  <si>
    <t>X4</t>
  </si>
  <si>
    <t>Y6</t>
  </si>
  <si>
    <t>Y7</t>
  </si>
  <si>
    <t>Y11</t>
  </si>
  <si>
    <t>Y12</t>
  </si>
  <si>
    <t>Y13</t>
  </si>
  <si>
    <t>Y14</t>
  </si>
  <si>
    <t>Y15</t>
  </si>
  <si>
    <t>PLC模块</t>
    <phoneticPr fontId="1" type="noConversion"/>
  </si>
  <si>
    <t>PLC1</t>
    <phoneticPr fontId="1" type="noConversion"/>
  </si>
  <si>
    <t>PLC3</t>
    <phoneticPr fontId="1" type="noConversion"/>
  </si>
  <si>
    <t>PLC4</t>
    <phoneticPr fontId="1" type="noConversion"/>
  </si>
  <si>
    <t>PLC5</t>
    <phoneticPr fontId="1" type="noConversion"/>
  </si>
  <si>
    <t>PLC6</t>
    <phoneticPr fontId="1" type="noConversion"/>
  </si>
  <si>
    <t>PLC7</t>
    <phoneticPr fontId="1" type="noConversion"/>
  </si>
  <si>
    <t>CH1</t>
    <phoneticPr fontId="1" type="noConversion"/>
  </si>
  <si>
    <t>CH2</t>
  </si>
  <si>
    <t>CH3</t>
  </si>
  <si>
    <t>CH4</t>
  </si>
  <si>
    <t>通道编号</t>
    <phoneticPr fontId="1" type="noConversion"/>
  </si>
  <si>
    <t>接线点编号</t>
    <phoneticPr fontId="1" type="noConversion"/>
  </si>
  <si>
    <t>IO1</t>
    <phoneticPr fontId="1" type="noConversion"/>
  </si>
  <si>
    <t>IO2</t>
    <phoneticPr fontId="1" type="noConversion"/>
  </si>
  <si>
    <t>V1</t>
    <phoneticPr fontId="1" type="noConversion"/>
  </si>
  <si>
    <t>V2</t>
    <phoneticPr fontId="1" type="noConversion"/>
  </si>
  <si>
    <t>V3</t>
    <phoneticPr fontId="1" type="noConversion"/>
  </si>
  <si>
    <t>V4</t>
    <phoneticPr fontId="1" type="noConversion"/>
  </si>
  <si>
    <t>V1/I1</t>
    <phoneticPr fontId="1" type="noConversion"/>
  </si>
  <si>
    <t>V2/I2</t>
    <phoneticPr fontId="1" type="noConversion"/>
  </si>
  <si>
    <t>V3/I3</t>
    <phoneticPr fontId="1" type="noConversion"/>
  </si>
  <si>
    <t>V4/I4</t>
    <phoneticPr fontId="1" type="noConversion"/>
  </si>
  <si>
    <t>X10</t>
    <phoneticPr fontId="1" type="noConversion"/>
  </si>
  <si>
    <t>Y10</t>
    <phoneticPr fontId="1" type="noConversion"/>
  </si>
  <si>
    <t>Y16</t>
  </si>
  <si>
    <t>Y17</t>
  </si>
  <si>
    <t>通电开阀</t>
    <phoneticPr fontId="1" type="noConversion"/>
  </si>
  <si>
    <t>备用</t>
    <phoneticPr fontId="1" type="noConversion"/>
  </si>
  <si>
    <t>X11</t>
  </si>
  <si>
    <t>X12</t>
  </si>
  <si>
    <t>X13</t>
  </si>
  <si>
    <t>X14</t>
  </si>
  <si>
    <t>X15</t>
  </si>
  <si>
    <t>X16</t>
  </si>
  <si>
    <t>X17</t>
  </si>
  <si>
    <t>断开为故障</t>
    <phoneticPr fontId="1" type="noConversion"/>
  </si>
  <si>
    <t>位移传感器1</t>
  </si>
  <si>
    <t>DC24V继电器</t>
    <phoneticPr fontId="1" type="noConversion"/>
  </si>
  <si>
    <t>IO3</t>
  </si>
  <si>
    <t>IO4</t>
  </si>
  <si>
    <t>位移尺1</t>
    <phoneticPr fontId="1" type="noConversion"/>
  </si>
  <si>
    <t>位移尺2</t>
  </si>
  <si>
    <t>位移尺3</t>
  </si>
  <si>
    <t>位移尺4</t>
  </si>
  <si>
    <t>位移尺5</t>
  </si>
  <si>
    <t>位移尺6</t>
  </si>
  <si>
    <t>位移尺7</t>
  </si>
  <si>
    <t>位移尺8</t>
  </si>
  <si>
    <t>位移尺9</t>
  </si>
  <si>
    <t>位移尺10</t>
  </si>
  <si>
    <t>位移尺11</t>
  </si>
  <si>
    <t>位移尺12</t>
  </si>
  <si>
    <t>600风压</t>
    <phoneticPr fontId="1" type="noConversion"/>
  </si>
  <si>
    <t>12k风压</t>
    <phoneticPr fontId="1" type="noConversion"/>
  </si>
  <si>
    <t>粗管风速</t>
    <phoneticPr fontId="1" type="noConversion"/>
  </si>
  <si>
    <t>细管风速</t>
    <phoneticPr fontId="1" type="noConversion"/>
  </si>
  <si>
    <t>M200</t>
    <phoneticPr fontId="1" type="noConversion"/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</si>
  <si>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</si>
  <si>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</si>
  <si>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</si>
  <si>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</si>
  <si>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</si>
  <si>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</si>
  <si>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</si>
  <si>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</si>
  <si>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</si>
  <si>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</si>
  <si>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</si>
  <si>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</si>
  <si>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</si>
  <si>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</si>
  <si>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</si>
  <si>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</si>
  <si>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</si>
  <si>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M400</t>
    <phoneticPr fontId="1" type="noConversion"/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</si>
  <si>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</si>
  <si>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</si>
  <si>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</si>
  <si>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</si>
  <si>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</si>
  <si>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</si>
  <si>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</si>
  <si>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</si>
  <si>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</si>
  <si>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</si>
  <si>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</si>
  <si>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</si>
  <si>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</si>
  <si>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</si>
  <si>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</si>
  <si>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</si>
  <si>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</si>
  <si>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设备状态</t>
    <phoneticPr fontId="1" type="noConversion"/>
  </si>
  <si>
    <t>差压阀开状态</t>
    <phoneticPr fontId="1" type="noConversion"/>
  </si>
  <si>
    <t>X轴向右状态</t>
    <phoneticPr fontId="1" type="noConversion"/>
  </si>
  <si>
    <t>X轴向左状态</t>
    <phoneticPr fontId="1" type="noConversion"/>
  </si>
  <si>
    <t>Y轴向前状态</t>
    <phoneticPr fontId="1" type="noConversion"/>
  </si>
  <si>
    <t>Y轴向后状态</t>
    <phoneticPr fontId="1" type="noConversion"/>
  </si>
  <si>
    <t>Z轴向上状态</t>
    <phoneticPr fontId="1" type="noConversion"/>
  </si>
  <si>
    <t>Z轴向下状态</t>
    <phoneticPr fontId="1" type="noConversion"/>
  </si>
  <si>
    <t>液压总阀开状态</t>
    <phoneticPr fontId="1" type="noConversion"/>
  </si>
  <si>
    <t>KM1吸合状态</t>
    <phoneticPr fontId="1" type="noConversion"/>
  </si>
  <si>
    <t>气泵运行状态</t>
    <phoneticPr fontId="1" type="noConversion"/>
  </si>
  <si>
    <t>水泵运行状态</t>
    <phoneticPr fontId="1" type="noConversion"/>
  </si>
  <si>
    <t>液压站运行状态</t>
    <phoneticPr fontId="1" type="noConversion"/>
  </si>
  <si>
    <t>定时器编号</t>
    <phoneticPr fontId="1" type="noConversion"/>
  </si>
  <si>
    <t>周期</t>
    <phoneticPr fontId="1" type="noConversion"/>
  </si>
  <si>
    <t>功能</t>
    <phoneticPr fontId="1" type="noConversion"/>
  </si>
  <si>
    <t>D600</t>
    <phoneticPr fontId="1" type="noConversion"/>
  </si>
  <si>
    <t>D602</t>
    <phoneticPr fontId="1" type="noConversion"/>
  </si>
  <si>
    <t>D301</t>
  </si>
  <si>
    <t>D302</t>
  </si>
  <si>
    <t>D303</t>
  </si>
  <si>
    <t>向右控制</t>
    <phoneticPr fontId="1" type="noConversion"/>
  </si>
  <si>
    <t>向左控制</t>
    <phoneticPr fontId="1" type="noConversion"/>
  </si>
  <si>
    <t>向前控制</t>
    <phoneticPr fontId="1" type="noConversion"/>
  </si>
  <si>
    <t>向后控制</t>
    <phoneticPr fontId="1" type="noConversion"/>
  </si>
  <si>
    <t>向上控制</t>
    <phoneticPr fontId="1" type="noConversion"/>
  </si>
  <si>
    <t>向下控制</t>
    <phoneticPr fontId="1" type="noConversion"/>
  </si>
  <si>
    <t>接触器控制</t>
    <phoneticPr fontId="1" type="noConversion"/>
  </si>
  <si>
    <t>频率给定值</t>
    <phoneticPr fontId="1" type="noConversion"/>
  </si>
  <si>
    <t>名称</t>
    <phoneticPr fontId="1" type="noConversion"/>
  </si>
  <si>
    <t>电信号</t>
    <phoneticPr fontId="1" type="noConversion"/>
  </si>
  <si>
    <t>量程</t>
    <phoneticPr fontId="1" type="noConversion"/>
  </si>
  <si>
    <t>采集器电信号</t>
    <phoneticPr fontId="1" type="noConversion"/>
  </si>
  <si>
    <t>采集器采集值</t>
    <phoneticPr fontId="1" type="noConversion"/>
  </si>
  <si>
    <t>电信号对应采集值</t>
    <phoneticPr fontId="1" type="noConversion"/>
  </si>
  <si>
    <t>下限</t>
    <phoneticPr fontId="1" type="noConversion"/>
  </si>
  <si>
    <t>上限</t>
    <phoneticPr fontId="1" type="noConversion"/>
  </si>
  <si>
    <t>传感器</t>
    <phoneticPr fontId="1" type="noConversion"/>
  </si>
  <si>
    <t>采集设备</t>
    <phoneticPr fontId="1" type="noConversion"/>
  </si>
  <si>
    <t>通道</t>
    <phoneticPr fontId="1" type="noConversion"/>
  </si>
  <si>
    <t>接线点</t>
    <phoneticPr fontId="1" type="noConversion"/>
  </si>
  <si>
    <t>WY1</t>
    <phoneticPr fontId="1" type="noConversion"/>
  </si>
  <si>
    <t>WY2</t>
  </si>
  <si>
    <t>WY3</t>
  </si>
  <si>
    <t>WY4</t>
  </si>
  <si>
    <t>WY5</t>
  </si>
  <si>
    <t>WY6</t>
  </si>
  <si>
    <t>WY7</t>
  </si>
  <si>
    <t>WY8</t>
  </si>
  <si>
    <t>WY9</t>
  </si>
  <si>
    <t>WY10</t>
  </si>
  <si>
    <t>WY11</t>
  </si>
  <si>
    <t>WY12</t>
  </si>
  <si>
    <t>FY1</t>
    <phoneticPr fontId="1" type="noConversion"/>
  </si>
  <si>
    <t>FY2</t>
    <phoneticPr fontId="1" type="noConversion"/>
  </si>
  <si>
    <t>FS1</t>
    <phoneticPr fontId="1" type="noConversion"/>
  </si>
  <si>
    <t>FS2</t>
    <phoneticPr fontId="1" type="noConversion"/>
  </si>
  <si>
    <t>X轴</t>
    <phoneticPr fontId="1" type="noConversion"/>
  </si>
  <si>
    <t>Y轴</t>
    <phoneticPr fontId="1" type="noConversion"/>
  </si>
  <si>
    <t>Z轴</t>
    <phoneticPr fontId="1" type="noConversion"/>
  </si>
  <si>
    <t>方向</t>
    <phoneticPr fontId="1" type="noConversion"/>
  </si>
  <si>
    <t>数量</t>
    <phoneticPr fontId="1" type="noConversion"/>
  </si>
  <si>
    <t>0-225</t>
    <phoneticPr fontId="1" type="noConversion"/>
  </si>
  <si>
    <t>0-100</t>
    <phoneticPr fontId="1" type="noConversion"/>
  </si>
  <si>
    <t>方向定义：正面面向设备</t>
    <phoneticPr fontId="1" type="noConversion"/>
  </si>
  <si>
    <t>Z左</t>
    <phoneticPr fontId="1" type="noConversion"/>
  </si>
  <si>
    <t>Z中</t>
    <phoneticPr fontId="1" type="noConversion"/>
  </si>
  <si>
    <t>Z右</t>
    <phoneticPr fontId="1" type="noConversion"/>
  </si>
  <si>
    <t>Y左</t>
    <phoneticPr fontId="1" type="noConversion"/>
  </si>
  <si>
    <t>Y中</t>
    <phoneticPr fontId="1" type="noConversion"/>
  </si>
  <si>
    <t>Y右</t>
    <phoneticPr fontId="1" type="noConversion"/>
  </si>
  <si>
    <t>变形
位置</t>
    <phoneticPr fontId="1" type="noConversion"/>
  </si>
  <si>
    <t>风压
位置</t>
    <phoneticPr fontId="1" type="noConversion"/>
  </si>
  <si>
    <t>位移1采集值</t>
    <phoneticPr fontId="1" type="noConversion"/>
  </si>
  <si>
    <t>位移2采集值</t>
  </si>
  <si>
    <t>位移3采集值</t>
  </si>
  <si>
    <t>位移4采集值</t>
  </si>
  <si>
    <t>位移5采集值</t>
  </si>
  <si>
    <t>位移6采集值</t>
  </si>
  <si>
    <t>位移7采集值</t>
  </si>
  <si>
    <t>位移8采集值</t>
  </si>
  <si>
    <t>位移9采集值</t>
  </si>
  <si>
    <t>位移10采集值</t>
  </si>
  <si>
    <t>位移11采集值</t>
  </si>
  <si>
    <t>位移12采集值</t>
  </si>
  <si>
    <t>位移1计算值</t>
  </si>
  <si>
    <t>位移2计算值</t>
  </si>
  <si>
    <t>位移3计算值</t>
  </si>
  <si>
    <t>位移4计算值</t>
  </si>
  <si>
    <t>位移5计算值</t>
  </si>
  <si>
    <t>位移6计算值</t>
  </si>
  <si>
    <t>位移7计算值</t>
  </si>
  <si>
    <t>位移8计算值</t>
  </si>
  <si>
    <t>位移9计算值</t>
  </si>
  <si>
    <t>位移10计算值</t>
  </si>
  <si>
    <t>位移11计算值</t>
  </si>
  <si>
    <t>位移12计算值</t>
  </si>
  <si>
    <t>位移1修正值</t>
  </si>
  <si>
    <t>位移2修正值</t>
  </si>
  <si>
    <t>位移3修正值</t>
  </si>
  <si>
    <t>位移4修正值</t>
  </si>
  <si>
    <t>位移5修正值</t>
  </si>
  <si>
    <t>位移6修正值</t>
  </si>
  <si>
    <t>位移7修正值</t>
  </si>
  <si>
    <t>位移8修正值</t>
  </si>
  <si>
    <t>位移9修正值</t>
  </si>
  <si>
    <t>位移10修正值</t>
  </si>
  <si>
    <t>位移11修正值</t>
  </si>
  <si>
    <t>位移12修正值</t>
  </si>
  <si>
    <t>传感器采集值</t>
    <phoneticPr fontId="1" type="noConversion"/>
  </si>
  <si>
    <t>传感器计算值</t>
    <phoneticPr fontId="1" type="noConversion"/>
  </si>
  <si>
    <t>D4000</t>
    <phoneticPr fontId="1" type="noConversion"/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</si>
  <si>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</si>
  <si>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</si>
  <si>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</si>
  <si>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</si>
  <si>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</si>
  <si>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</si>
  <si>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</si>
  <si>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</si>
  <si>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</si>
  <si>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</si>
  <si>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</si>
  <si>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</si>
  <si>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</si>
  <si>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</si>
  <si>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</si>
  <si>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</si>
  <si>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</si>
  <si>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</si>
  <si>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D4031</t>
  </si>
  <si>
    <t>D4032</t>
  </si>
  <si>
    <t>D4033</t>
  </si>
  <si>
    <t>D4034</t>
  </si>
  <si>
    <t>D4035</t>
  </si>
  <si>
    <t>D4036</t>
  </si>
  <si>
    <t>D4037</t>
  </si>
  <si>
    <t>D4038</t>
  </si>
  <si>
    <t>D4039</t>
  </si>
  <si>
    <t>D4040</t>
  </si>
  <si>
    <t>D4041</t>
  </si>
  <si>
    <t>D4042</t>
  </si>
  <si>
    <t>D4043</t>
  </si>
  <si>
    <t>D4044</t>
  </si>
  <si>
    <t>D4045</t>
  </si>
  <si>
    <t>D4046</t>
  </si>
  <si>
    <t>上循环模式</t>
    <phoneticPr fontId="1" type="noConversion"/>
  </si>
  <si>
    <t>D1480</t>
    <phoneticPr fontId="1" type="noConversion"/>
  </si>
  <si>
    <t>D1481</t>
  </si>
  <si>
    <t>D1482</t>
  </si>
  <si>
    <t>D1483</t>
  </si>
  <si>
    <t>位移1-485</t>
    <phoneticPr fontId="1" type="noConversion"/>
  </si>
  <si>
    <t>位移2-485</t>
  </si>
  <si>
    <t>位移3-485</t>
  </si>
  <si>
    <t>位移4-485</t>
  </si>
  <si>
    <t>位移5-485</t>
  </si>
  <si>
    <t>位移6-485</t>
  </si>
  <si>
    <t>位移7-485</t>
  </si>
  <si>
    <t>位移8-485</t>
  </si>
  <si>
    <t>位移9-485</t>
  </si>
  <si>
    <t>位移10-485</t>
  </si>
  <si>
    <t>位移11-485</t>
  </si>
  <si>
    <t>位移12-485</t>
  </si>
  <si>
    <t>D1512</t>
    <phoneticPr fontId="1" type="noConversion"/>
  </si>
  <si>
    <t>D1513</t>
  </si>
  <si>
    <t>D1514</t>
  </si>
  <si>
    <t>D1515</t>
  </si>
  <si>
    <t>D1544</t>
    <phoneticPr fontId="1" type="noConversion"/>
  </si>
  <si>
    <t>D1545</t>
  </si>
  <si>
    <t>D1546</t>
  </si>
  <si>
    <t>D1547</t>
  </si>
  <si>
    <t>D1576</t>
    <phoneticPr fontId="1" type="noConversion"/>
  </si>
  <si>
    <t>D1577</t>
  </si>
  <si>
    <t>D1578</t>
  </si>
  <si>
    <t>D1579</t>
  </si>
  <si>
    <t>紧急停机指令</t>
    <phoneticPr fontId="1" type="noConversion"/>
  </si>
  <si>
    <t>模式
切换复位</t>
    <phoneticPr fontId="1" type="noConversion"/>
  </si>
  <si>
    <t>停止复位</t>
    <phoneticPr fontId="1" type="noConversion"/>
  </si>
  <si>
    <t>√</t>
    <phoneticPr fontId="1" type="noConversion"/>
  </si>
  <si>
    <t>ToPC状态参数</t>
    <phoneticPr fontId="1" type="noConversion"/>
  </si>
  <si>
    <t>PLClink
AD采集值</t>
    <phoneticPr fontId="1" type="noConversion"/>
  </si>
  <si>
    <t>传感器修正
设定值
计算值=采集值-修正值</t>
    <phoneticPr fontId="1" type="noConversion"/>
  </si>
  <si>
    <t>相序正常状态</t>
    <phoneticPr fontId="1" type="noConversion"/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</si>
  <si>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</si>
  <si>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</si>
  <si>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</si>
  <si>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</si>
  <si>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</si>
  <si>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</si>
  <si>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</si>
  <si>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</si>
  <si>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</si>
  <si>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</si>
  <si>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</si>
  <si>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</si>
  <si>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</si>
  <si>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</si>
  <si>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</si>
  <si>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</si>
  <si>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</si>
  <si>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</si>
  <si>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0-32000</t>
    <phoneticPr fontId="1" type="noConversion"/>
  </si>
  <si>
    <t>0-4000</t>
    <phoneticPr fontId="1" type="noConversion"/>
  </si>
  <si>
    <t>状态监测1</t>
    <phoneticPr fontId="1" type="noConversion"/>
  </si>
  <si>
    <t>状态监测2</t>
    <phoneticPr fontId="1" type="noConversion"/>
  </si>
  <si>
    <t>状态监测3</t>
    <phoneticPr fontId="1" type="noConversion"/>
  </si>
  <si>
    <t>状态监测4</t>
    <phoneticPr fontId="1" type="noConversion"/>
  </si>
  <si>
    <t>通讯闪烁状态</t>
    <phoneticPr fontId="1" type="noConversion"/>
  </si>
  <si>
    <t>T0</t>
    <phoneticPr fontId="1" type="noConversion"/>
  </si>
  <si>
    <t>M350</t>
    <phoneticPr fontId="1" type="noConversion"/>
  </si>
  <si>
    <t>看门狗</t>
    <phoneticPr fontId="1" type="noConversion"/>
  </si>
  <si>
    <t>T1</t>
  </si>
  <si>
    <t>400ms</t>
    <phoneticPr fontId="1" type="noConversion"/>
  </si>
  <si>
    <t>20s</t>
    <phoneticPr fontId="1" type="noConversion"/>
  </si>
  <si>
    <t>2s</t>
    <phoneticPr fontId="1" type="noConversion"/>
  </si>
  <si>
    <t>看门狗1</t>
    <phoneticPr fontId="1" type="noConversion"/>
  </si>
  <si>
    <t>看门狗2</t>
    <phoneticPr fontId="1" type="noConversion"/>
  </si>
  <si>
    <t>T2</t>
  </si>
  <si>
    <t>T3</t>
  </si>
  <si>
    <t>通讯状态闪烁2</t>
    <phoneticPr fontId="1" type="noConversion"/>
  </si>
  <si>
    <t>通讯状态闪烁1</t>
    <phoneticPr fontId="1" type="noConversion"/>
  </si>
  <si>
    <t>100ms</t>
    <phoneticPr fontId="1" type="noConversion"/>
  </si>
  <si>
    <t>时长</t>
    <phoneticPr fontId="1" type="noConversion"/>
  </si>
  <si>
    <t>传输数据暂存区</t>
    <phoneticPr fontId="1" type="noConversion"/>
  </si>
  <si>
    <t>D8000</t>
    <phoneticPr fontId="1" type="noConversion"/>
  </si>
  <si>
    <t>D8001</t>
    <phoneticPr fontId="1" type="noConversion"/>
  </si>
  <si>
    <t>D8002</t>
  </si>
  <si>
    <t>D8003</t>
  </si>
  <si>
    <t>D8004</t>
  </si>
  <si>
    <t>D8005</t>
  </si>
  <si>
    <t>D8006</t>
  </si>
  <si>
    <t>D8007</t>
  </si>
  <si>
    <t>D8008</t>
  </si>
  <si>
    <t>D8009</t>
  </si>
  <si>
    <t>D8010</t>
  </si>
  <si>
    <t>D8011</t>
  </si>
  <si>
    <t>D8012</t>
  </si>
  <si>
    <t>D8013</t>
  </si>
  <si>
    <t>D8014</t>
  </si>
  <si>
    <t>D8015</t>
  </si>
  <si>
    <t>D8016</t>
  </si>
  <si>
    <t>D8017</t>
  </si>
  <si>
    <t>D8018</t>
  </si>
  <si>
    <t>D8019</t>
  </si>
  <si>
    <t>数据1</t>
    <phoneticPr fontId="1" type="noConversion"/>
  </si>
  <si>
    <t>数据2</t>
  </si>
  <si>
    <t>数据3</t>
  </si>
  <si>
    <t>数据4</t>
  </si>
  <si>
    <t>数据5</t>
  </si>
  <si>
    <t>数据6</t>
  </si>
  <si>
    <t>数据7</t>
  </si>
  <si>
    <t>数据8</t>
  </si>
  <si>
    <t>数据9</t>
  </si>
  <si>
    <t>数据10</t>
  </si>
  <si>
    <t>数据11</t>
  </si>
  <si>
    <t>数据12</t>
  </si>
  <si>
    <t>数据13</t>
  </si>
  <si>
    <t>数据14</t>
  </si>
  <si>
    <t>数据15</t>
  </si>
  <si>
    <t>数据16</t>
  </si>
  <si>
    <t>数据17</t>
  </si>
  <si>
    <t>数据18</t>
  </si>
  <si>
    <t>数据19</t>
  </si>
  <si>
    <t>Modbus
地址</t>
    <phoneticPr fontId="1" type="noConversion"/>
  </si>
  <si>
    <t>X定点目标</t>
    <phoneticPr fontId="1" type="noConversion"/>
  </si>
  <si>
    <t>Y定点目标</t>
    <phoneticPr fontId="1" type="noConversion"/>
  </si>
  <si>
    <t>Z定点目标</t>
    <phoneticPr fontId="1" type="noConversion"/>
  </si>
  <si>
    <t>Z点动（1上2下）</t>
    <phoneticPr fontId="1" type="noConversion"/>
  </si>
  <si>
    <t>Y点动（1前2后）</t>
    <phoneticPr fontId="1" type="noConversion"/>
  </si>
  <si>
    <t>X点动时长</t>
    <phoneticPr fontId="1" type="noConversion"/>
  </si>
  <si>
    <t>Y点动时长</t>
    <phoneticPr fontId="1" type="noConversion"/>
  </si>
  <si>
    <t>Z点动时长</t>
    <phoneticPr fontId="1" type="noConversion"/>
  </si>
  <si>
    <t>持续运动模式</t>
    <phoneticPr fontId="1" type="noConversion"/>
  </si>
  <si>
    <t>Y持续方向（0停1前2后）</t>
    <phoneticPr fontId="1" type="noConversion"/>
  </si>
  <si>
    <t>Z持续方向（0停1上2下）</t>
    <phoneticPr fontId="1" type="noConversion"/>
  </si>
  <si>
    <t>X点动（1右2左）</t>
    <phoneticPr fontId="1" type="noConversion"/>
  </si>
  <si>
    <t>T21</t>
    <phoneticPr fontId="1" type="noConversion"/>
  </si>
  <si>
    <t>T22</t>
  </si>
  <si>
    <t>T23</t>
  </si>
  <si>
    <t>T24</t>
  </si>
  <si>
    <t>T25</t>
  </si>
  <si>
    <t>T26</t>
  </si>
  <si>
    <t>X右点动计时器</t>
    <phoneticPr fontId="1" type="noConversion"/>
  </si>
  <si>
    <t>X左点动计时器</t>
    <phoneticPr fontId="1" type="noConversion"/>
  </si>
  <si>
    <t>Y前点动计时器</t>
    <phoneticPr fontId="1" type="noConversion"/>
  </si>
  <si>
    <t>Y后点动计时器</t>
    <phoneticPr fontId="1" type="noConversion"/>
  </si>
  <si>
    <t>Z上点动计时器</t>
    <phoneticPr fontId="1" type="noConversion"/>
  </si>
  <si>
    <t>Z下点动计时器</t>
    <phoneticPr fontId="1" type="noConversion"/>
  </si>
  <si>
    <t>D500</t>
    <phoneticPr fontId="1" type="noConversion"/>
  </si>
  <si>
    <t>D501</t>
  </si>
  <si>
    <t>D502</t>
  </si>
  <si>
    <t>D503</t>
  </si>
  <si>
    <t>D504</t>
  </si>
  <si>
    <t>D505</t>
  </si>
  <si>
    <t>X右定位修正</t>
    <phoneticPr fontId="1" type="noConversion"/>
  </si>
  <si>
    <t>X左定位修正</t>
    <phoneticPr fontId="1" type="noConversion"/>
  </si>
  <si>
    <t>Y前定位修正</t>
    <phoneticPr fontId="1" type="noConversion"/>
  </si>
  <si>
    <t>Y后定位修正</t>
    <phoneticPr fontId="1" type="noConversion"/>
  </si>
  <si>
    <t>Z上定位修正</t>
    <phoneticPr fontId="1" type="noConversion"/>
  </si>
  <si>
    <t>Z下定位修正</t>
    <phoneticPr fontId="1" type="noConversion"/>
  </si>
  <si>
    <t>D506</t>
  </si>
  <si>
    <t>D507</t>
  </si>
  <si>
    <t>D508</t>
  </si>
  <si>
    <t>D509</t>
  </si>
  <si>
    <t>D510</t>
  </si>
  <si>
    <t>D511</t>
  </si>
  <si>
    <t>D0</t>
    <phoneticPr fontId="1" type="noConversion"/>
  </si>
  <si>
    <t>D10</t>
    <phoneticPr fontId="1" type="noConversion"/>
  </si>
  <si>
    <t>D11</t>
    <phoneticPr fontId="1" type="noConversion"/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</si>
  <si>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</si>
  <si>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</si>
  <si>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</si>
  <si>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</si>
  <si>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</si>
  <si>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</si>
  <si>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</si>
  <si>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</si>
  <si>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</si>
  <si>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</si>
  <si>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</si>
  <si>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</si>
  <si>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</si>
  <si>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</si>
  <si>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</si>
  <si>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</si>
  <si>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</si>
  <si>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暂存值</t>
    <phoneticPr fontId="1" type="noConversion"/>
  </si>
  <si>
    <t>D8100</t>
    <phoneticPr fontId="1" type="noConversion"/>
  </si>
  <si>
    <t>点动模式</t>
    <phoneticPr fontId="1" type="noConversion"/>
  </si>
  <si>
    <t>D8101</t>
  </si>
  <si>
    <t>D8102</t>
  </si>
  <si>
    <t>D8103</t>
  </si>
  <si>
    <t>D8104</t>
  </si>
  <si>
    <t>D8105</t>
  </si>
  <si>
    <t>D8106</t>
  </si>
  <si>
    <t>D8107</t>
  </si>
  <si>
    <t>D8108</t>
  </si>
  <si>
    <t>D8109</t>
  </si>
  <si>
    <t>D8110</t>
  </si>
  <si>
    <t>D8111</t>
  </si>
  <si>
    <t>D8112</t>
  </si>
  <si>
    <t>D8113</t>
  </si>
  <si>
    <t>D8114</t>
  </si>
  <si>
    <t>D8115</t>
  </si>
  <si>
    <t>D8116</t>
  </si>
  <si>
    <t>D8117</t>
  </si>
  <si>
    <t>D8118</t>
  </si>
  <si>
    <t>D8119</t>
  </si>
  <si>
    <t>X定点到位</t>
    <phoneticPr fontId="1" type="noConversion"/>
  </si>
  <si>
    <t>Y定点到位</t>
    <phoneticPr fontId="1" type="noConversion"/>
  </si>
  <si>
    <t>Z定点到位</t>
    <phoneticPr fontId="1" type="noConversion"/>
  </si>
  <si>
    <t>X右定位目标修正后</t>
    <phoneticPr fontId="1" type="noConversion"/>
  </si>
  <si>
    <t>X左定位目标修正后</t>
    <phoneticPr fontId="1" type="noConversion"/>
  </si>
  <si>
    <t>Y前定位目标修正后</t>
    <phoneticPr fontId="1" type="noConversion"/>
  </si>
  <si>
    <t>Y后定位目标修正后</t>
    <phoneticPr fontId="1" type="noConversion"/>
  </si>
  <si>
    <t>Z上定位目标修正后</t>
    <phoneticPr fontId="1" type="noConversion"/>
  </si>
  <si>
    <t>Z下定位目标修正后</t>
    <phoneticPr fontId="1" type="noConversion"/>
  </si>
  <si>
    <t>X目标+右定修正</t>
    <phoneticPr fontId="1" type="noConversion"/>
  </si>
  <si>
    <t>X目标+左定修正</t>
    <phoneticPr fontId="1" type="noConversion"/>
  </si>
  <si>
    <t>Y目标+前定修正</t>
    <phoneticPr fontId="1" type="noConversion"/>
  </si>
  <si>
    <t>Y目标+后定修正</t>
    <phoneticPr fontId="1" type="noConversion"/>
  </si>
  <si>
    <t>Z目标+上定修正</t>
    <phoneticPr fontId="1" type="noConversion"/>
  </si>
  <si>
    <t>Z目标+下定修正</t>
    <phoneticPr fontId="1" type="noConversion"/>
  </si>
  <si>
    <t>X目标+右修+误差</t>
    <phoneticPr fontId="1" type="noConversion"/>
  </si>
  <si>
    <t>X目标+右修-误差</t>
    <phoneticPr fontId="1" type="noConversion"/>
  </si>
  <si>
    <t>X目标+左修+误差</t>
    <phoneticPr fontId="1" type="noConversion"/>
  </si>
  <si>
    <t>X目标+左修-误差</t>
    <phoneticPr fontId="1" type="noConversion"/>
  </si>
  <si>
    <t>Y目标+前修+误差</t>
    <phoneticPr fontId="1" type="noConversion"/>
  </si>
  <si>
    <t>Y目标+前修-误差</t>
    <phoneticPr fontId="1" type="noConversion"/>
  </si>
  <si>
    <t>Y目标+后修+误差</t>
    <phoneticPr fontId="1" type="noConversion"/>
  </si>
  <si>
    <t>Y目标+后修-误差</t>
    <phoneticPr fontId="1" type="noConversion"/>
  </si>
  <si>
    <t>Z目标+上修+误差</t>
    <phoneticPr fontId="1" type="noConversion"/>
  </si>
  <si>
    <t>Z目标+上修-误差</t>
    <phoneticPr fontId="1" type="noConversion"/>
  </si>
  <si>
    <t>Z目标+下修+误差</t>
    <phoneticPr fontId="1" type="noConversion"/>
  </si>
  <si>
    <t>Z目标+下修-误差</t>
    <phoneticPr fontId="1" type="noConversion"/>
  </si>
  <si>
    <t>D8120</t>
  </si>
  <si>
    <t>T30</t>
    <phoneticPr fontId="1" type="noConversion"/>
  </si>
  <si>
    <t>M251</t>
    <phoneticPr fontId="1" type="noConversion"/>
  </si>
  <si>
    <t>M252</t>
  </si>
  <si>
    <t>M253</t>
  </si>
  <si>
    <t>M254</t>
  </si>
  <si>
    <t>M255</t>
  </si>
  <si>
    <t>M256</t>
  </si>
  <si>
    <t>M257</t>
  </si>
  <si>
    <t>M258</t>
  </si>
  <si>
    <t>层间Z点上定时器</t>
    <phoneticPr fontId="1" type="noConversion"/>
  </si>
  <si>
    <t>T31</t>
  </si>
  <si>
    <t>层间Z点下定时器</t>
    <phoneticPr fontId="1" type="noConversion"/>
  </si>
  <si>
    <t>指令值</t>
    <phoneticPr fontId="1" type="noConversion"/>
  </si>
  <si>
    <t>层间变形定位参数</t>
    <phoneticPr fontId="1" type="noConversion"/>
  </si>
  <si>
    <t>X右偏差范围</t>
    <phoneticPr fontId="1" type="noConversion"/>
  </si>
  <si>
    <t>X左偏差范围</t>
    <phoneticPr fontId="1" type="noConversion"/>
  </si>
  <si>
    <t>Y前偏差范围</t>
    <phoneticPr fontId="1" type="noConversion"/>
  </si>
  <si>
    <t>Y后偏差范围</t>
    <phoneticPr fontId="1" type="noConversion"/>
  </si>
  <si>
    <t>Z上偏差范围</t>
    <phoneticPr fontId="1" type="noConversion"/>
  </si>
  <si>
    <t>Z下偏差范围</t>
    <phoneticPr fontId="1" type="noConversion"/>
  </si>
  <si>
    <t>正数，对应采集值</t>
    <phoneticPr fontId="1" type="noConversion"/>
  </si>
  <si>
    <t>有符号，对应采集值</t>
    <phoneticPr fontId="1" type="noConversion"/>
  </si>
  <si>
    <t>Y轴计算值平均值（7、8、9）</t>
    <phoneticPr fontId="1" type="noConversion"/>
  </si>
  <si>
    <t>Z轴计算值平均值（10、11、12）</t>
    <phoneticPr fontId="1" type="noConversion"/>
  </si>
  <si>
    <t>Y轴采集值平均值（7、8、9）</t>
    <phoneticPr fontId="1" type="noConversion"/>
  </si>
  <si>
    <t>Z轴采集值平均值（10、11、12）</t>
    <phoneticPr fontId="1" type="noConversion"/>
  </si>
  <si>
    <t>D29</t>
  </si>
  <si>
    <t>D30</t>
  </si>
  <si>
    <t>D31</t>
  </si>
  <si>
    <t>D32</t>
  </si>
  <si>
    <t>Y左+Y中计算和</t>
    <phoneticPr fontId="1" type="noConversion"/>
  </si>
  <si>
    <t>Y左+Y中+Y右计算和</t>
    <phoneticPr fontId="1" type="noConversion"/>
  </si>
  <si>
    <t>Z左+Z中计算和</t>
    <phoneticPr fontId="1" type="noConversion"/>
  </si>
  <si>
    <t>Z左+Z中+Z右计算和</t>
    <phoneticPr fontId="1" type="noConversion"/>
  </si>
  <si>
    <t>Y左+Y中采集和</t>
    <phoneticPr fontId="1" type="noConversion"/>
  </si>
  <si>
    <t>Y左+Y中+Y右采集和</t>
    <phoneticPr fontId="1" type="noConversion"/>
  </si>
  <si>
    <t>Z左+Z中采集和</t>
    <phoneticPr fontId="1" type="noConversion"/>
  </si>
  <si>
    <t>Z左+Z中+Z右采集和</t>
    <phoneticPr fontId="1" type="noConversion"/>
  </si>
  <si>
    <t>定点模式（1X右，2X左，3Y前，4Y后，5Z上，6Z下）</t>
    <phoneticPr fontId="1" type="noConversion"/>
  </si>
  <si>
    <t>M259</t>
  </si>
  <si>
    <t>M260</t>
  </si>
  <si>
    <t>D33</t>
  </si>
  <si>
    <t>D5000</t>
    <phoneticPr fontId="1" type="noConversion"/>
  </si>
  <si>
    <t>D5001</t>
  </si>
  <si>
    <t>D5009</t>
  </si>
  <si>
    <t>D5010</t>
  </si>
  <si>
    <t>D5011</t>
  </si>
  <si>
    <t>D5012</t>
  </si>
  <si>
    <t>D5013</t>
  </si>
  <si>
    <t>D5014</t>
  </si>
  <si>
    <t>D5015</t>
  </si>
  <si>
    <t>D5016</t>
  </si>
  <si>
    <t>风机变频启动状态</t>
    <phoneticPr fontId="1" type="noConversion"/>
  </si>
  <si>
    <t>水泵变频启动状态</t>
    <phoneticPr fontId="1" type="noConversion"/>
  </si>
  <si>
    <t>M100</t>
    <phoneticPr fontId="1" type="noConversion"/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</si>
  <si>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</si>
  <si>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</si>
  <si>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</si>
  <si>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</si>
  <si>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</si>
  <si>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</si>
  <si>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</si>
  <si>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</si>
  <si>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</si>
  <si>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</si>
  <si>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</si>
  <si>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</si>
  <si>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</si>
  <si>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</si>
  <si>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</si>
  <si>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</si>
  <si>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</si>
  <si>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</si>
  <si>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</si>
  <si>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</si>
  <si>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</si>
  <si>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</si>
  <si>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</si>
  <si>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</si>
  <si>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</si>
  <si>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</si>
  <si>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</si>
  <si>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</si>
  <si>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</si>
  <si>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</si>
  <si>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</si>
  <si>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阀门故障状态</t>
    <phoneticPr fontId="1" type="noConversion"/>
  </si>
  <si>
    <t>伺服报警状态</t>
    <phoneticPr fontId="1" type="noConversion"/>
  </si>
  <si>
    <t>阀门正压位置</t>
    <phoneticPr fontId="1" type="noConversion"/>
  </si>
  <si>
    <t>阀门负压位置</t>
    <phoneticPr fontId="1" type="noConversion"/>
  </si>
  <si>
    <t>M150</t>
    <phoneticPr fontId="1" type="noConversion"/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</si>
  <si>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</si>
  <si>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</si>
  <si>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</si>
  <si>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</si>
  <si>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</si>
  <si>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</si>
  <si>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</si>
  <si>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</si>
  <si>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</si>
  <si>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</si>
  <si>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</si>
  <si>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</si>
  <si>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</si>
  <si>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</si>
  <si>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阀门反馈状态</t>
    <phoneticPr fontId="1" type="noConversion"/>
  </si>
  <si>
    <t>D1608</t>
    <phoneticPr fontId="1" type="noConversion"/>
  </si>
  <si>
    <t>D1609</t>
  </si>
  <si>
    <t>D1610</t>
  </si>
  <si>
    <t>D1611</t>
  </si>
  <si>
    <t>D1640</t>
    <phoneticPr fontId="1" type="noConversion"/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</si>
  <si>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</si>
  <si>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</si>
  <si>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</si>
  <si>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</si>
  <si>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</si>
  <si>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</si>
  <si>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</si>
  <si>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</si>
  <si>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</si>
  <si>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</si>
  <si>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</si>
  <si>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</si>
  <si>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PLClink
阀门箱状态</t>
    <phoneticPr fontId="1" type="noConversion"/>
  </si>
  <si>
    <t>PLCLink阀门箱指令</t>
    <phoneticPr fontId="1" type="noConversion"/>
  </si>
  <si>
    <t>D1656</t>
    <phoneticPr fontId="1" type="noConversion"/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</si>
  <si>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</si>
  <si>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</si>
  <si>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</si>
  <si>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</si>
  <si>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</si>
  <si>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</si>
  <si>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</si>
  <si>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</si>
  <si>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</si>
  <si>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</si>
  <si>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阀门箱D600</t>
    <phoneticPr fontId="1" type="noConversion"/>
  </si>
  <si>
    <t>阀门箱D601</t>
  </si>
  <si>
    <t>阀门箱D602</t>
  </si>
  <si>
    <t>阀门箱D603</t>
  </si>
  <si>
    <t>阀门箱D604</t>
  </si>
  <si>
    <t>阀门箱D605</t>
  </si>
  <si>
    <t>阀门箱D606</t>
  </si>
  <si>
    <t>阀门箱D607</t>
  </si>
  <si>
    <t>阀门箱D608</t>
  </si>
  <si>
    <t>阀门箱D609</t>
  </si>
  <si>
    <t>阀门箱D610</t>
  </si>
  <si>
    <t>阀门箱D4500</t>
    <phoneticPr fontId="1" type="noConversion"/>
  </si>
  <si>
    <t>阀门箱D4501</t>
  </si>
  <si>
    <t>阀门箱D4502</t>
  </si>
  <si>
    <t>阀门箱D4503</t>
  </si>
  <si>
    <t>阀门箱D4504</t>
  </si>
  <si>
    <t>阀门箱D4505</t>
  </si>
  <si>
    <t>阀门箱D4506</t>
  </si>
  <si>
    <t>阀门箱D4507</t>
  </si>
  <si>
    <t>阀门箱D4508</t>
  </si>
  <si>
    <t>阀门箱D4509</t>
  </si>
  <si>
    <t>阀门箱D4510</t>
  </si>
  <si>
    <t>阀门箱D611</t>
  </si>
  <si>
    <t>阀门箱D612</t>
  </si>
  <si>
    <t>当前模式</t>
    <phoneticPr fontId="1" type="noConversion"/>
  </si>
  <si>
    <t>正压已波动次数</t>
    <phoneticPr fontId="1" type="noConversion"/>
  </si>
  <si>
    <t>负压已波动次数</t>
    <phoneticPr fontId="1" type="noConversion"/>
  </si>
  <si>
    <t>故障类型</t>
    <phoneticPr fontId="1" type="noConversion"/>
  </si>
  <si>
    <t>自检状态</t>
    <phoneticPr fontId="1" type="noConversion"/>
  </si>
  <si>
    <t>手动状态</t>
    <phoneticPr fontId="1" type="noConversion"/>
  </si>
  <si>
    <t>正压低压准备状态</t>
    <phoneticPr fontId="1" type="noConversion"/>
  </si>
  <si>
    <t>负压低压准备状态</t>
    <phoneticPr fontId="1" type="noConversion"/>
  </si>
  <si>
    <t>正压波动状态</t>
    <phoneticPr fontId="1" type="noConversion"/>
  </si>
  <si>
    <t>负压波动状态</t>
    <phoneticPr fontId="1" type="noConversion"/>
  </si>
  <si>
    <t>当前动作类型</t>
  </si>
  <si>
    <t>状态量1</t>
    <phoneticPr fontId="1" type="noConversion"/>
  </si>
  <si>
    <t>状态量2</t>
    <phoneticPr fontId="1" type="noConversion"/>
  </si>
  <si>
    <t>正压模式5</t>
    <phoneticPr fontId="1" type="noConversion"/>
  </si>
  <si>
    <t>负压模式6</t>
    <phoneticPr fontId="1" type="noConversion"/>
  </si>
  <si>
    <t>正压低压准备7</t>
    <phoneticPr fontId="1" type="noConversion"/>
  </si>
  <si>
    <t>负压低压准备8</t>
    <phoneticPr fontId="1" type="noConversion"/>
  </si>
  <si>
    <t>正压波动9</t>
    <phoneticPr fontId="1" type="noConversion"/>
  </si>
  <si>
    <t>负压波动10</t>
    <phoneticPr fontId="1" type="noConversion"/>
  </si>
  <si>
    <t>重新自检3</t>
    <phoneticPr fontId="1" type="noConversion"/>
  </si>
  <si>
    <t>故障复位88</t>
    <phoneticPr fontId="1" type="noConversion"/>
  </si>
  <si>
    <t>指令及数据暂存区</t>
    <phoneticPr fontId="1" type="noConversion"/>
  </si>
  <si>
    <t>D400</t>
    <phoneticPr fontId="1" type="noConversion"/>
  </si>
  <si>
    <t>模式</t>
    <phoneticPr fontId="1" type="noConversion"/>
  </si>
  <si>
    <t>D4100</t>
    <phoneticPr fontId="1" type="noConversion"/>
  </si>
  <si>
    <t>D4110</t>
    <phoneticPr fontId="1" type="noConversion"/>
  </si>
  <si>
    <t>D4120</t>
    <phoneticPr fontId="1" type="noConversion"/>
  </si>
  <si>
    <t>D4130</t>
    <phoneticPr fontId="1" type="noConversion"/>
  </si>
  <si>
    <t>D4102</t>
    <phoneticPr fontId="1" type="noConversion"/>
  </si>
  <si>
    <t>D4112</t>
    <phoneticPr fontId="1" type="noConversion"/>
  </si>
  <si>
    <t>D4122</t>
    <phoneticPr fontId="1" type="noConversion"/>
  </si>
  <si>
    <t>波动次数</t>
    <phoneticPr fontId="1" type="noConversion"/>
  </si>
  <si>
    <t>D4132</t>
    <phoneticPr fontId="1" type="noConversion"/>
  </si>
  <si>
    <t>D4124</t>
    <phoneticPr fontId="1" type="noConversion"/>
  </si>
  <si>
    <t>D4134</t>
    <phoneticPr fontId="1" type="noConversion"/>
  </si>
  <si>
    <t>D4104</t>
    <phoneticPr fontId="1" type="noConversion"/>
  </si>
  <si>
    <t>设定压力</t>
    <phoneticPr fontId="1" type="noConversion"/>
  </si>
  <si>
    <t>D4114</t>
    <phoneticPr fontId="1" type="noConversion"/>
  </si>
  <si>
    <t>D4105</t>
    <phoneticPr fontId="1" type="noConversion"/>
  </si>
  <si>
    <t>当前压力</t>
    <phoneticPr fontId="1" type="noConversion"/>
  </si>
  <si>
    <t>D4115</t>
    <phoneticPr fontId="1" type="noConversion"/>
  </si>
  <si>
    <t>喂狗</t>
    <phoneticPr fontId="1" type="noConversion"/>
  </si>
  <si>
    <t>阀门自检完成</t>
    <phoneticPr fontId="1" type="noConversion"/>
  </si>
  <si>
    <t>阀门正压降低</t>
    <phoneticPr fontId="1" type="noConversion"/>
  </si>
  <si>
    <t>阀门正压升高</t>
    <phoneticPr fontId="1" type="noConversion"/>
  </si>
  <si>
    <t>阀门负压降低</t>
    <phoneticPr fontId="1" type="noConversion"/>
  </si>
  <si>
    <t>阀门负压升高</t>
    <phoneticPr fontId="1" type="noConversion"/>
  </si>
  <si>
    <t>阀门正压模式完成</t>
    <phoneticPr fontId="1" type="noConversion"/>
  </si>
  <si>
    <t>阀门负压模式完成</t>
    <phoneticPr fontId="1" type="noConversion"/>
  </si>
  <si>
    <t>阀门正压波动准备完成</t>
    <phoneticPr fontId="1" type="noConversion"/>
  </si>
  <si>
    <t>阀门负压波动准备完成</t>
    <phoneticPr fontId="1" type="noConversion"/>
  </si>
  <si>
    <t>阀门正压波动完成</t>
    <phoneticPr fontId="1" type="noConversion"/>
  </si>
  <si>
    <t>阀门负压波动完成</t>
    <phoneticPr fontId="1" type="noConversion"/>
  </si>
  <si>
    <t>风机频率输出值</t>
    <phoneticPr fontId="1" type="noConversion"/>
  </si>
  <si>
    <t>风速细采集值</t>
    <phoneticPr fontId="1" type="noConversion"/>
  </si>
  <si>
    <t>风速粗采集值</t>
    <phoneticPr fontId="1" type="noConversion"/>
  </si>
  <si>
    <t>风速加粗采集值</t>
    <phoneticPr fontId="1" type="noConversion"/>
  </si>
  <si>
    <t>差压小采集值</t>
    <phoneticPr fontId="1" type="noConversion"/>
  </si>
  <si>
    <t>差压中采集值</t>
    <phoneticPr fontId="1" type="noConversion"/>
  </si>
  <si>
    <t>差压大采集值</t>
    <phoneticPr fontId="1" type="noConversion"/>
  </si>
  <si>
    <t>流量采集值</t>
    <phoneticPr fontId="1" type="noConversion"/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</si>
  <si>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</si>
  <si>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</si>
  <si>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</si>
  <si>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</si>
  <si>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</si>
  <si>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</si>
  <si>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</si>
  <si>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</si>
  <si>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</si>
  <si>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</si>
  <si>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</si>
  <si>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</si>
  <si>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</si>
  <si>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</si>
  <si>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</si>
  <si>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</si>
  <si>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换向阀当前模式</t>
    <phoneticPr fontId="1" type="noConversion"/>
  </si>
  <si>
    <t>换向阀故障类型</t>
    <phoneticPr fontId="1" type="noConversion"/>
  </si>
  <si>
    <t>换向阀自检状态</t>
    <phoneticPr fontId="1" type="noConversion"/>
  </si>
  <si>
    <t>换向阀手动状态</t>
    <phoneticPr fontId="1" type="noConversion"/>
  </si>
  <si>
    <t>换向阀状态量1</t>
    <phoneticPr fontId="1" type="noConversion"/>
  </si>
  <si>
    <t>换向阀状态量2</t>
    <phoneticPr fontId="1" type="noConversion"/>
  </si>
  <si>
    <t>M0-511，M768-999，M2000-2047</t>
    <phoneticPr fontId="1" type="noConversion"/>
  </si>
  <si>
    <t>D0-407，D600-999，D3920-9999</t>
    <phoneticPr fontId="1" type="noConversion"/>
  </si>
  <si>
    <t>水泵频率输出值</t>
    <phoneticPr fontId="1" type="noConversion"/>
  </si>
  <si>
    <t>换向阀正压已波次数</t>
    <phoneticPr fontId="1" type="noConversion"/>
  </si>
  <si>
    <t>换向阀负压已波次数</t>
    <phoneticPr fontId="1" type="noConversion"/>
  </si>
  <si>
    <t>换向阀正低压准备</t>
    <phoneticPr fontId="1" type="noConversion"/>
  </si>
  <si>
    <t>换向阀负低压准备</t>
    <phoneticPr fontId="1" type="noConversion"/>
  </si>
  <si>
    <t>换向阀正压波动</t>
    <phoneticPr fontId="1" type="noConversion"/>
  </si>
  <si>
    <t>换向阀负压波动</t>
    <phoneticPr fontId="1" type="noConversion"/>
  </si>
  <si>
    <t>换向阀当前动作</t>
    <phoneticPr fontId="1" type="noConversion"/>
  </si>
  <si>
    <t>小差压-485</t>
    <phoneticPr fontId="1" type="noConversion"/>
  </si>
  <si>
    <t>大差压-485</t>
    <phoneticPr fontId="1" type="noConversion"/>
  </si>
  <si>
    <t>粗风速-485</t>
    <phoneticPr fontId="1" type="noConversion"/>
  </si>
  <si>
    <t>细风速-485</t>
    <phoneticPr fontId="1" type="noConversion"/>
  </si>
  <si>
    <t>风速频率手动设定计算</t>
    <phoneticPr fontId="1" type="noConversion"/>
  </si>
  <si>
    <t>水泵频率手动设定计算</t>
    <phoneticPr fontId="1" type="noConversion"/>
  </si>
  <si>
    <t>X轴位移值（自编号）</t>
  </si>
  <si>
    <t>D34</t>
  </si>
  <si>
    <t>Y轴位移平均（自编号）</t>
  </si>
  <si>
    <t>D35</t>
  </si>
  <si>
    <t>Z轴位移平均（自编号）</t>
  </si>
  <si>
    <t>D36</t>
  </si>
  <si>
    <t>Y左+Y中（自编号）</t>
  </si>
  <si>
    <t>D37</t>
  </si>
  <si>
    <t>Y左+Y中+Y右（自编号）</t>
  </si>
  <si>
    <t>D38</t>
  </si>
  <si>
    <t>Z左+Z中（自编号）</t>
  </si>
  <si>
    <t>D39</t>
  </si>
  <si>
    <t>Z左+Z中+Z右（自编号）</t>
  </si>
  <si>
    <t>小差压修正值</t>
    <phoneticPr fontId="1" type="noConversion"/>
  </si>
  <si>
    <t>大差压修正值</t>
    <phoneticPr fontId="1" type="noConversion"/>
  </si>
  <si>
    <t>细风速修正值</t>
    <phoneticPr fontId="1" type="noConversion"/>
  </si>
  <si>
    <t>粗风速修正值</t>
    <phoneticPr fontId="1" type="noConversion"/>
  </si>
  <si>
    <t>小差压采集值</t>
    <phoneticPr fontId="1" type="noConversion"/>
  </si>
  <si>
    <t>大差压采集值</t>
    <phoneticPr fontId="1" type="noConversion"/>
  </si>
  <si>
    <t>细风速采集值</t>
    <phoneticPr fontId="1" type="noConversion"/>
  </si>
  <si>
    <t>粗风速采集值</t>
    <phoneticPr fontId="1" type="noConversion"/>
  </si>
  <si>
    <t>小差压计算值</t>
    <phoneticPr fontId="1" type="noConversion"/>
  </si>
  <si>
    <t>大差压计算值</t>
    <phoneticPr fontId="1" type="noConversion"/>
  </si>
  <si>
    <t>细风速计算值</t>
    <phoneticPr fontId="1" type="noConversion"/>
  </si>
  <si>
    <t>粗风速计算值</t>
    <phoneticPr fontId="1" type="noConversion"/>
  </si>
  <si>
    <t>水流量采集值</t>
    <phoneticPr fontId="1" type="noConversion"/>
  </si>
  <si>
    <t>水流量计算值</t>
    <phoneticPr fontId="1" type="noConversion"/>
  </si>
  <si>
    <t>X位移尺</t>
    <phoneticPr fontId="1" type="noConversion"/>
  </si>
  <si>
    <t>Y左位移尺</t>
    <phoneticPr fontId="1" type="noConversion"/>
  </si>
  <si>
    <t>Y中位移尺</t>
    <phoneticPr fontId="1" type="noConversion"/>
  </si>
  <si>
    <t>Y右位移尺</t>
    <phoneticPr fontId="1" type="noConversion"/>
  </si>
  <si>
    <t>Z左位移尺</t>
    <phoneticPr fontId="1" type="noConversion"/>
  </si>
  <si>
    <t>Z中位移尺</t>
    <phoneticPr fontId="1" type="noConversion"/>
  </si>
  <si>
    <t>Z右位移尺</t>
    <phoneticPr fontId="1" type="noConversion"/>
  </si>
  <si>
    <t>小差压传感器</t>
    <phoneticPr fontId="1" type="noConversion"/>
  </si>
  <si>
    <t>大差压传感器</t>
    <phoneticPr fontId="1" type="noConversion"/>
  </si>
  <si>
    <t>细管风速传感器</t>
    <phoneticPr fontId="1" type="noConversion"/>
  </si>
  <si>
    <t>粗管风速传感器</t>
    <phoneticPr fontId="1" type="noConversion"/>
  </si>
  <si>
    <t>风机变频器</t>
    <phoneticPr fontId="1" type="noConversion"/>
  </si>
  <si>
    <t>水泵变频器</t>
    <phoneticPr fontId="1" type="noConversion"/>
  </si>
  <si>
    <t>主管蝶阀</t>
  </si>
  <si>
    <t>粗管蝶阀</t>
  </si>
  <si>
    <t>细管蝶阀</t>
  </si>
  <si>
    <t>差压阀</t>
  </si>
  <si>
    <t>KM1</t>
  </si>
  <si>
    <t>液压站</t>
  </si>
  <si>
    <t>水泵</t>
  </si>
  <si>
    <t>气泵</t>
  </si>
  <si>
    <t>风机变频</t>
  </si>
  <si>
    <t>紧急停机</t>
    <phoneticPr fontId="1" type="noConversion"/>
  </si>
  <si>
    <t>M360</t>
    <phoneticPr fontId="1" type="noConversion"/>
  </si>
  <si>
    <t>中差压</t>
    <phoneticPr fontId="1" type="noConversion"/>
  </si>
  <si>
    <t>加粗风速</t>
    <phoneticPr fontId="1" type="noConversion"/>
  </si>
  <si>
    <t>水流量</t>
    <phoneticPr fontId="1" type="noConversion"/>
  </si>
  <si>
    <t>D4061</t>
  </si>
  <si>
    <t>D4062</t>
  </si>
  <si>
    <t>D4063</t>
  </si>
  <si>
    <t>加粗风速修正值</t>
    <phoneticPr fontId="1" type="noConversion"/>
  </si>
  <si>
    <t>水流量修正值</t>
    <phoneticPr fontId="1" type="noConversion"/>
  </si>
  <si>
    <t>中压差修正值</t>
    <phoneticPr fontId="1" type="noConversion"/>
  </si>
  <si>
    <t>加粗风速采集值</t>
    <phoneticPr fontId="1" type="noConversion"/>
  </si>
  <si>
    <t>中差压采集值</t>
    <phoneticPr fontId="1" type="noConversion"/>
  </si>
  <si>
    <t>加粗风速计算值</t>
    <phoneticPr fontId="1" type="noConversion"/>
  </si>
  <si>
    <t>D4064</t>
  </si>
  <si>
    <t>D4065</t>
  </si>
  <si>
    <t>中差压计算值</t>
    <phoneticPr fontId="1" type="noConversion"/>
  </si>
  <si>
    <t>D4060</t>
    <phoneticPr fontId="1" type="noConversion"/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</si>
  <si>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</si>
  <si>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</si>
  <si>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</si>
  <si>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</si>
  <si>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</si>
  <si>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</si>
  <si>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</si>
  <si>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</si>
  <si>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</si>
  <si>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</si>
  <si>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</si>
  <si>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</si>
  <si>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</si>
  <si>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</si>
  <si>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</si>
  <si>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阀门模式</t>
    <phoneticPr fontId="1" type="noConversion"/>
  </si>
  <si>
    <t>D700</t>
    <phoneticPr fontId="1" type="noConversion"/>
  </si>
  <si>
    <t>程控输出</t>
    <phoneticPr fontId="1" type="noConversion"/>
  </si>
  <si>
    <t>液压站程控输出</t>
    <phoneticPr fontId="1" type="noConversion"/>
  </si>
  <si>
    <t>液压总阀程控输出</t>
    <phoneticPr fontId="1" type="noConversion"/>
  </si>
  <si>
    <t>X轴向右程控输出</t>
    <phoneticPr fontId="1" type="noConversion"/>
  </si>
  <si>
    <t>X轴向左程控输出</t>
    <phoneticPr fontId="1" type="noConversion"/>
  </si>
  <si>
    <t>Y轴向前程控输出</t>
    <phoneticPr fontId="1" type="noConversion"/>
  </si>
  <si>
    <t>Y轴向后程控输出</t>
    <phoneticPr fontId="1" type="noConversion"/>
  </si>
  <si>
    <t>Z轴向上程控输出</t>
    <phoneticPr fontId="1" type="noConversion"/>
  </si>
  <si>
    <t>Z轴向下程控输出</t>
    <phoneticPr fontId="1" type="noConversion"/>
  </si>
  <si>
    <t>主管蝶阀程控输出</t>
    <phoneticPr fontId="1" type="noConversion"/>
  </si>
  <si>
    <t>粗管蝶阀程控输出</t>
    <phoneticPr fontId="1" type="noConversion"/>
  </si>
  <si>
    <t>细管蝶阀程控输出</t>
    <phoneticPr fontId="1" type="noConversion"/>
  </si>
  <si>
    <t>加粗管蝶阀程控输出</t>
    <phoneticPr fontId="1" type="noConversion"/>
  </si>
  <si>
    <t>差压程控输出</t>
    <phoneticPr fontId="1" type="noConversion"/>
  </si>
  <si>
    <t>KM1程控输出</t>
    <phoneticPr fontId="1" type="noConversion"/>
  </si>
  <si>
    <t>水泵程控输出</t>
    <phoneticPr fontId="1" type="noConversion"/>
  </si>
  <si>
    <t>气泵程控输出</t>
    <phoneticPr fontId="1" type="noConversion"/>
  </si>
  <si>
    <t>风机变频程控输出</t>
    <phoneticPr fontId="1" type="noConversion"/>
  </si>
  <si>
    <t>水泵变频程控输出</t>
    <phoneticPr fontId="1" type="noConversion"/>
  </si>
  <si>
    <t>程控指令</t>
    <phoneticPr fontId="1" type="noConversion"/>
  </si>
  <si>
    <t>差压程控指令</t>
    <phoneticPr fontId="1" type="noConversion"/>
  </si>
  <si>
    <t>X轴向右程控指令</t>
    <phoneticPr fontId="1" type="noConversion"/>
  </si>
  <si>
    <t>X轴向左程控指令</t>
    <phoneticPr fontId="1" type="noConversion"/>
  </si>
  <si>
    <t>Y轴向前程控指令</t>
    <phoneticPr fontId="1" type="noConversion"/>
  </si>
  <si>
    <t>Y轴向后程控指令</t>
    <phoneticPr fontId="1" type="noConversion"/>
  </si>
  <si>
    <t>Z轴向上程控指令</t>
    <phoneticPr fontId="1" type="noConversion"/>
  </si>
  <si>
    <t>Z轴向下程控指令</t>
    <phoneticPr fontId="1" type="noConversion"/>
  </si>
  <si>
    <t>液压总阀程控指令</t>
    <phoneticPr fontId="1" type="noConversion"/>
  </si>
  <si>
    <t>KM1程控指令</t>
    <phoneticPr fontId="1" type="noConversion"/>
  </si>
  <si>
    <t>液压站程控指令</t>
    <phoneticPr fontId="1" type="noConversion"/>
  </si>
  <si>
    <t>水泵程控指令</t>
    <phoneticPr fontId="1" type="noConversion"/>
  </si>
  <si>
    <t>气泵程控指令</t>
    <phoneticPr fontId="1" type="noConversion"/>
  </si>
  <si>
    <t>风机变频程控指令</t>
    <phoneticPr fontId="1" type="noConversion"/>
  </si>
  <si>
    <t>水泵变频程控指令</t>
    <phoneticPr fontId="1" type="noConversion"/>
  </si>
  <si>
    <t>程控模式</t>
    <phoneticPr fontId="1" type="noConversion"/>
  </si>
  <si>
    <t>工作模式</t>
    <phoneticPr fontId="1" type="noConversion"/>
  </si>
  <si>
    <t>启停指令1</t>
    <phoneticPr fontId="1" type="noConversion"/>
  </si>
  <si>
    <t>启停指令2</t>
    <phoneticPr fontId="1" type="noConversion"/>
  </si>
  <si>
    <t>风机频率给定</t>
    <phoneticPr fontId="1" type="noConversion"/>
  </si>
  <si>
    <t>水泵频率给定</t>
    <phoneticPr fontId="1" type="noConversion"/>
  </si>
  <si>
    <t>低压准备脉冲频率</t>
    <phoneticPr fontId="1" type="noConversion"/>
  </si>
  <si>
    <t>低压准备脉冲个数</t>
    <phoneticPr fontId="1" type="noConversion"/>
  </si>
  <si>
    <t>波动脉冲频率</t>
    <phoneticPr fontId="1" type="noConversion"/>
  </si>
  <si>
    <t>低压准备频率</t>
    <phoneticPr fontId="1" type="noConversion"/>
  </si>
  <si>
    <t>波动脉冲修正</t>
    <phoneticPr fontId="1" type="noConversion"/>
  </si>
  <si>
    <t>程控指令暂存区</t>
    <phoneticPr fontId="1" type="noConversion"/>
  </si>
  <si>
    <t>D5002</t>
  </si>
  <si>
    <t>D5003</t>
  </si>
  <si>
    <t>D5004</t>
  </si>
  <si>
    <t>D5005</t>
  </si>
  <si>
    <t>D5006</t>
  </si>
  <si>
    <t>D5007</t>
  </si>
  <si>
    <t>D5008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</si>
  <si>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</si>
  <si>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</si>
  <si>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</si>
  <si>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</si>
  <si>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</si>
  <si>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</si>
  <si>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</si>
  <si>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</si>
  <si>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</si>
  <si>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X右目标左</t>
  </si>
  <si>
    <t>X右目标右</t>
  </si>
  <si>
    <t>X左目标左</t>
  </si>
  <si>
    <t>X左目标右</t>
  </si>
  <si>
    <t>Y前目标后</t>
  </si>
  <si>
    <t>Y前目标前</t>
  </si>
  <si>
    <t>Y后目标后</t>
  </si>
  <si>
    <t>Y后目标前</t>
  </si>
  <si>
    <t>Z上目标上</t>
  </si>
  <si>
    <t>Z上目标下</t>
  </si>
  <si>
    <t>Z下目标上</t>
  </si>
  <si>
    <t>Z下目标下</t>
  </si>
  <si>
    <t>X右偏差允许</t>
  </si>
  <si>
    <t>X左偏差允许</t>
  </si>
  <si>
    <t>Y前偏差允许</t>
  </si>
  <si>
    <t>Y后偏差允许</t>
  </si>
  <si>
    <t>Z上偏差允许</t>
  </si>
  <si>
    <t>Z下偏差允许</t>
  </si>
  <si>
    <t>X右定位修正</t>
  </si>
  <si>
    <t>X左定位修正</t>
  </si>
  <si>
    <t>Y前定位修正</t>
  </si>
  <si>
    <t>Y后定位修正</t>
  </si>
  <si>
    <t>Z上定位修正</t>
  </si>
  <si>
    <t>Z下定位修正</t>
  </si>
  <si>
    <t>阀门控制模式</t>
  </si>
  <si>
    <t>D1667</t>
  </si>
  <si>
    <t>D1668</t>
  </si>
  <si>
    <t>阀门控制指令暂存区</t>
    <phoneticPr fontId="1" type="noConversion"/>
  </si>
  <si>
    <t>D710</t>
    <phoneticPr fontId="1" type="noConversion"/>
  </si>
  <si>
    <t>03自检模式
05正压模式
06负压模式
07正压低压准备模式
08负压低压准备模式
09次数波动正压模式
10次数波动负压模式
88复位模式</t>
    <phoneticPr fontId="1" type="noConversion"/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</si>
  <si>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</si>
  <si>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</si>
  <si>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</si>
  <si>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</si>
  <si>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</si>
  <si>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</si>
  <si>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</si>
  <si>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</si>
  <si>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</si>
  <si>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</si>
  <si>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</si>
  <si>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</si>
  <si>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阀门运行模式暂存</t>
    <phoneticPr fontId="1" type="noConversion"/>
  </si>
  <si>
    <t>低压准备频率暂存</t>
    <phoneticPr fontId="1" type="noConversion"/>
  </si>
  <si>
    <t>低压准备脉冲个数暂存</t>
    <phoneticPr fontId="1" type="noConversion"/>
  </si>
  <si>
    <t>设定压力暂存</t>
    <phoneticPr fontId="1" type="noConversion"/>
  </si>
  <si>
    <t>波动脉冲频率暂存</t>
    <phoneticPr fontId="1" type="noConversion"/>
  </si>
  <si>
    <t>波动脉冲修正暂存</t>
    <phoneticPr fontId="1" type="noConversion"/>
  </si>
  <si>
    <t>波动次数暂存</t>
    <phoneticPr fontId="1" type="noConversion"/>
  </si>
  <si>
    <t>压力通道暂存(2大压差，3中压差）</t>
    <phoneticPr fontId="1" type="noConversion"/>
  </si>
  <si>
    <t>压力通道(2大压差，3中压差）</t>
    <phoneticPr fontId="1" type="noConversion"/>
  </si>
  <si>
    <t>D8121</t>
  </si>
  <si>
    <t>D8122</t>
  </si>
  <si>
    <t>D8123</t>
  </si>
  <si>
    <t>命令类型（300点动）</t>
    <phoneticPr fontId="1" type="noConversion"/>
  </si>
  <si>
    <t>命令类型（400持续）</t>
    <phoneticPr fontId="1" type="noConversion"/>
  </si>
  <si>
    <t>命令类型（500定点）</t>
    <phoneticPr fontId="1" type="noConversion"/>
  </si>
  <si>
    <t>调试手动位移及层间变形检测（有流量阀）</t>
    <phoneticPr fontId="1" type="noConversion"/>
  </si>
  <si>
    <t>位移指令暂存区</t>
    <phoneticPr fontId="1" type="noConversion"/>
  </si>
  <si>
    <t>位移定位偏差设定</t>
    <phoneticPr fontId="1" type="noConversion"/>
  </si>
  <si>
    <t>02位移模式</t>
    <phoneticPr fontId="1" type="noConversion"/>
  </si>
  <si>
    <t>D4500</t>
    <phoneticPr fontId="1" type="noConversion"/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</si>
  <si>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</si>
  <si>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</si>
  <si>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</si>
  <si>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</si>
  <si>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</si>
  <si>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</si>
  <si>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</si>
  <si>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</si>
  <si>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D4509</t>
  </si>
  <si>
    <t>D4510</t>
  </si>
  <si>
    <t>D4511</t>
  </si>
  <si>
    <t>D4512</t>
  </si>
  <si>
    <t>D4513</t>
  </si>
  <si>
    <t>D4514</t>
  </si>
  <si>
    <t>D4515</t>
  </si>
  <si>
    <t>D4516</t>
  </si>
  <si>
    <t>D4517</t>
  </si>
  <si>
    <t>D4518</t>
  </si>
  <si>
    <t>D4519</t>
  </si>
  <si>
    <t>D4520</t>
  </si>
  <si>
    <t>D4521</t>
  </si>
  <si>
    <t>D4522</t>
  </si>
  <si>
    <t>D4523</t>
  </si>
  <si>
    <t>工作模式01</t>
    <phoneticPr fontId="1" type="noConversion"/>
  </si>
  <si>
    <t>程控指令传输区</t>
    <phoneticPr fontId="1" type="noConversion"/>
  </si>
  <si>
    <t>指令功能：00待机，01程控，02位移，119紧急停机</t>
    <phoneticPr fontId="1" type="noConversion"/>
  </si>
  <si>
    <t>命令类型（100定位偏差参数）</t>
    <phoneticPr fontId="1" type="noConversion"/>
  </si>
  <si>
    <t>命令类型（100定位偏差参数，300点动，400持续，500定点）</t>
    <phoneticPr fontId="1" type="noConversion"/>
  </si>
  <si>
    <t>命令类型（100定位偏差参数设定）</t>
    <phoneticPr fontId="1" type="noConversion"/>
  </si>
  <si>
    <t>阀门看门狗暂存</t>
    <phoneticPr fontId="1" type="noConversion"/>
  </si>
  <si>
    <t>位移输出</t>
    <phoneticPr fontId="1" type="noConversion"/>
  </si>
  <si>
    <t>M250</t>
    <phoneticPr fontId="1" type="noConversion"/>
  </si>
  <si>
    <t>液压站位移输出</t>
    <phoneticPr fontId="1" type="noConversion"/>
  </si>
  <si>
    <t>液压总阀位移输出</t>
    <phoneticPr fontId="1" type="noConversion"/>
  </si>
  <si>
    <t>X右点动位移输出</t>
    <phoneticPr fontId="1" type="noConversion"/>
  </si>
  <si>
    <t>X左点动位移输出</t>
    <phoneticPr fontId="1" type="noConversion"/>
  </si>
  <si>
    <t>Y前点动位移输出</t>
    <phoneticPr fontId="1" type="noConversion"/>
  </si>
  <si>
    <t>Y后点动位移输出</t>
    <phoneticPr fontId="1" type="noConversion"/>
  </si>
  <si>
    <t>Z上点动位移输出</t>
    <phoneticPr fontId="1" type="noConversion"/>
  </si>
  <si>
    <t>Z下点动位移输出</t>
    <phoneticPr fontId="1" type="noConversion"/>
  </si>
  <si>
    <t>X右持续位移输出</t>
    <phoneticPr fontId="1" type="noConversion"/>
  </si>
  <si>
    <t>X左持续位移输出</t>
    <phoneticPr fontId="1" type="noConversion"/>
  </si>
  <si>
    <t>Y前持续位移输出</t>
    <phoneticPr fontId="1" type="noConversion"/>
  </si>
  <si>
    <t>Y后持续位移输出</t>
    <phoneticPr fontId="1" type="noConversion"/>
  </si>
  <si>
    <t>Z上持续位移输出</t>
    <phoneticPr fontId="1" type="noConversion"/>
  </si>
  <si>
    <t>Z下持续位移输出</t>
    <phoneticPr fontId="1" type="noConversion"/>
  </si>
  <si>
    <t>X右定点位移输出</t>
    <phoneticPr fontId="1" type="noConversion"/>
  </si>
  <si>
    <t>X左定点位移输出</t>
    <phoneticPr fontId="1" type="noConversion"/>
  </si>
  <si>
    <t>Y前定点位移输出</t>
    <phoneticPr fontId="1" type="noConversion"/>
  </si>
  <si>
    <t>Y后定点位移输出</t>
    <phoneticPr fontId="1" type="noConversion"/>
  </si>
  <si>
    <t>Z上定点位移输出</t>
    <phoneticPr fontId="1" type="noConversion"/>
  </si>
  <si>
    <t>Z下定点位移输出</t>
    <phoneticPr fontId="1" type="noConversion"/>
  </si>
  <si>
    <t>位移指令传输区</t>
    <phoneticPr fontId="1" type="noConversion"/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</si>
  <si>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</si>
  <si>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</si>
  <si>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</si>
  <si>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</si>
  <si>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</si>
  <si>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</si>
  <si>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</si>
  <si>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</si>
  <si>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</si>
  <si>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119紧急停机，
01程控模式，
02位移模式</t>
    <phoneticPr fontId="1" type="noConversion"/>
  </si>
  <si>
    <t>X持续方向（0停1右2左）</t>
    <phoneticPr fontId="1" type="noConversion"/>
  </si>
  <si>
    <t>命令类型（900停止）</t>
    <phoneticPr fontId="1" type="noConversion"/>
  </si>
  <si>
    <t>命令类型（100定位偏差参数，300点动，400持续，500定点，900停止）</t>
    <phoneticPr fontId="1" type="noConversion"/>
  </si>
  <si>
    <t>主管蝶阀1程控指令</t>
    <phoneticPr fontId="1" type="noConversion"/>
  </si>
  <si>
    <t>粗管蝶阀2程控指令</t>
    <phoneticPr fontId="1" type="noConversion"/>
  </si>
  <si>
    <t>细管蝶阀3程控指令</t>
    <phoneticPr fontId="1" type="noConversion"/>
  </si>
  <si>
    <t>加粗管蝶阀4程控指令</t>
    <phoneticPr fontId="1" type="noConversion"/>
  </si>
  <si>
    <t>主管蝶阀1开状态</t>
    <phoneticPr fontId="1" type="noConversion"/>
  </si>
  <si>
    <t>粗管蝶阀2开状态</t>
    <phoneticPr fontId="1" type="noConversion"/>
  </si>
  <si>
    <t>细管蝶阀3开状态</t>
    <phoneticPr fontId="1" type="noConversion"/>
  </si>
  <si>
    <t>加粗管蝶阀4状态</t>
    <phoneticPr fontId="1" type="noConversion"/>
  </si>
  <si>
    <t>压力通道(2大3中)</t>
    <phoneticPr fontId="1" type="noConversion"/>
  </si>
  <si>
    <t>阀门箱D4511</t>
  </si>
  <si>
    <t>阀门箱D4512</t>
  </si>
  <si>
    <t>看门狗指令</t>
    <phoneticPr fontId="1" type="noConversion"/>
  </si>
  <si>
    <t>位移传感器13</t>
    <phoneticPr fontId="1" type="noConversion"/>
  </si>
  <si>
    <t>PLC10</t>
    <phoneticPr fontId="1" type="noConversion"/>
  </si>
  <si>
    <t>位移传感器14</t>
  </si>
  <si>
    <t>位移传感器15</t>
  </si>
  <si>
    <t>位移传感器16</t>
  </si>
  <si>
    <t>位移传感器17</t>
  </si>
  <si>
    <t>CH5</t>
  </si>
  <si>
    <t>V5</t>
  </si>
  <si>
    <t>位移传感器18</t>
  </si>
  <si>
    <t>CH6</t>
  </si>
  <si>
    <t>V6</t>
  </si>
  <si>
    <t>位移传感器19</t>
  </si>
  <si>
    <t>PLC11</t>
    <phoneticPr fontId="1" type="noConversion"/>
  </si>
  <si>
    <t>位移传感器20</t>
  </si>
  <si>
    <t>位移传感器21</t>
  </si>
  <si>
    <t>位移传感器22</t>
  </si>
  <si>
    <t>位移传感器23</t>
  </si>
  <si>
    <t>位移传感器24</t>
  </si>
  <si>
    <t>位移传感器25</t>
  </si>
  <si>
    <t>PLC12</t>
    <phoneticPr fontId="1" type="noConversion"/>
  </si>
  <si>
    <t>位移传感器26</t>
  </si>
  <si>
    <t>位移传感器27</t>
  </si>
  <si>
    <t>位移传感器28</t>
  </si>
  <si>
    <t>位移传感器29</t>
  </si>
  <si>
    <t>位移传感器30</t>
  </si>
  <si>
    <t>位移传感器31</t>
  </si>
  <si>
    <t>PLC13</t>
    <phoneticPr fontId="1" type="noConversion"/>
  </si>
  <si>
    <t>位移传感器32</t>
  </si>
  <si>
    <t>位移传感器33</t>
  </si>
  <si>
    <t>位移传感器34</t>
  </si>
  <si>
    <t>位移传感器35</t>
  </si>
  <si>
    <t>PLC14</t>
    <phoneticPr fontId="1" type="noConversion"/>
  </si>
  <si>
    <t>位移传感器36</t>
  </si>
  <si>
    <t>管路温度</t>
    <phoneticPr fontId="1" type="noConversion"/>
  </si>
  <si>
    <t>温度值</t>
    <phoneticPr fontId="1" type="noConversion"/>
  </si>
  <si>
    <t>管路湿度</t>
    <phoneticPr fontId="1" type="noConversion"/>
  </si>
  <si>
    <t>湿度值</t>
    <phoneticPr fontId="1" type="noConversion"/>
  </si>
  <si>
    <t>D1672</t>
    <phoneticPr fontId="1" type="noConversion"/>
  </si>
  <si>
    <t>D1673</t>
  </si>
  <si>
    <t>D1674</t>
  </si>
  <si>
    <t>D1675</t>
  </si>
  <si>
    <t>D1676</t>
  </si>
  <si>
    <t>D1677</t>
  </si>
  <si>
    <t>位移13</t>
    <phoneticPr fontId="1" type="noConversion"/>
  </si>
  <si>
    <t>位移14</t>
  </si>
  <si>
    <t>位移15</t>
  </si>
  <si>
    <t>位移16</t>
  </si>
  <si>
    <t>位移17</t>
  </si>
  <si>
    <t>位移18</t>
  </si>
  <si>
    <t>位移19</t>
  </si>
  <si>
    <t>位移20</t>
  </si>
  <si>
    <t>位移21</t>
  </si>
  <si>
    <t>位移22</t>
  </si>
  <si>
    <t>位移23</t>
  </si>
  <si>
    <t>位移24</t>
  </si>
  <si>
    <t>位移25</t>
  </si>
  <si>
    <t>位移26</t>
  </si>
  <si>
    <t>位移27</t>
  </si>
  <si>
    <t>位移28</t>
  </si>
  <si>
    <t>位移29</t>
  </si>
  <si>
    <t>位移30</t>
  </si>
  <si>
    <t>位移31</t>
  </si>
  <si>
    <t>位移32</t>
  </si>
  <si>
    <t>位移33</t>
  </si>
  <si>
    <t>位移34</t>
  </si>
  <si>
    <t>位移35</t>
  </si>
  <si>
    <t>位移36</t>
  </si>
  <si>
    <t>D1704</t>
    <phoneticPr fontId="1" type="noConversion"/>
  </si>
  <si>
    <t>D1705</t>
  </si>
  <si>
    <t>D1706</t>
  </si>
  <si>
    <t>D1707</t>
  </si>
  <si>
    <t>D1708</t>
  </si>
  <si>
    <t>D1709</t>
  </si>
  <si>
    <t>D1736</t>
    <phoneticPr fontId="1" type="noConversion"/>
  </si>
  <si>
    <t>D1737</t>
  </si>
  <si>
    <t>D1738</t>
  </si>
  <si>
    <t>D1739</t>
  </si>
  <si>
    <t>D1740</t>
  </si>
  <si>
    <t>D1741</t>
  </si>
  <si>
    <t>D1768</t>
    <phoneticPr fontId="1" type="noConversion"/>
  </si>
  <si>
    <t>D1769</t>
  </si>
  <si>
    <t>D1770</t>
  </si>
  <si>
    <t>D1771</t>
  </si>
  <si>
    <t>D1800</t>
    <phoneticPr fontId="1" type="noConversion"/>
  </si>
  <si>
    <t>D1801</t>
  </si>
  <si>
    <t>D1802</t>
  </si>
  <si>
    <t>D1803</t>
  </si>
  <si>
    <t>管路温度</t>
    <phoneticPr fontId="1" type="noConversion"/>
  </si>
  <si>
    <t>管路湿度</t>
    <phoneticPr fontId="1" type="noConversion"/>
  </si>
  <si>
    <t>位移13采集值</t>
  </si>
  <si>
    <t>位移14采集值</t>
  </si>
  <si>
    <t>位移15采集值</t>
  </si>
  <si>
    <t>位移16采集值</t>
  </si>
  <si>
    <t>位移17采集值</t>
  </si>
  <si>
    <t>位移18采集值</t>
  </si>
  <si>
    <t>位移19采集值</t>
  </si>
  <si>
    <t>位移20采集值</t>
  </si>
  <si>
    <t>位移21采集值</t>
  </si>
  <si>
    <t>位移22采集值</t>
  </si>
  <si>
    <t>位移23采集值</t>
  </si>
  <si>
    <t>位移24采集值</t>
  </si>
  <si>
    <t>位移25采集值</t>
  </si>
  <si>
    <t>位移26采集值</t>
  </si>
  <si>
    <t>位移27采集值</t>
  </si>
  <si>
    <t>位移28采集值</t>
  </si>
  <si>
    <t>位移29采集值</t>
  </si>
  <si>
    <t>位移30采集值</t>
  </si>
  <si>
    <t>位移31采集值</t>
  </si>
  <si>
    <t>位移32采集值</t>
  </si>
  <si>
    <t>位移33采集值</t>
  </si>
  <si>
    <t>位移34采集值</t>
  </si>
  <si>
    <t>位移35采集值</t>
  </si>
  <si>
    <t>位移36采集值</t>
  </si>
  <si>
    <t>1号AD模块
地址4</t>
    <phoneticPr fontId="1" type="noConversion"/>
  </si>
  <si>
    <t>2号AD模块
地址5</t>
    <phoneticPr fontId="1" type="noConversion"/>
  </si>
  <si>
    <t>3号AD模块
地址6</t>
    <phoneticPr fontId="1" type="noConversion"/>
  </si>
  <si>
    <t>4号AD模块
地址7</t>
    <phoneticPr fontId="1" type="noConversion"/>
  </si>
  <si>
    <t>5号AD模块
地址8</t>
    <phoneticPr fontId="1" type="noConversion"/>
  </si>
  <si>
    <t>6号AD模块
地址10</t>
    <phoneticPr fontId="1" type="noConversion"/>
  </si>
  <si>
    <t>7号AD模块
地址11</t>
    <phoneticPr fontId="1" type="noConversion"/>
  </si>
  <si>
    <t>8号AD模块
地址12</t>
    <phoneticPr fontId="1" type="noConversion"/>
  </si>
  <si>
    <t>9号AD模块
地址13</t>
    <phoneticPr fontId="1" type="noConversion"/>
  </si>
  <si>
    <t>10号AD模块
地址14</t>
    <phoneticPr fontId="1" type="noConversion"/>
  </si>
  <si>
    <t>D4101</t>
  </si>
  <si>
    <t>D4102</t>
  </si>
  <si>
    <t>D4103</t>
  </si>
  <si>
    <t>D4104</t>
  </si>
  <si>
    <t>D4105</t>
  </si>
  <si>
    <t>D4106</t>
  </si>
  <si>
    <t>D4107</t>
  </si>
  <si>
    <t>D4108</t>
  </si>
  <si>
    <t>D4109</t>
  </si>
  <si>
    <t>D4110</t>
  </si>
  <si>
    <t>D4111</t>
  </si>
  <si>
    <t>D4112</t>
  </si>
  <si>
    <t>D4113</t>
  </si>
  <si>
    <t>D4114</t>
  </si>
  <si>
    <t>D4115</t>
  </si>
  <si>
    <t>D4116</t>
  </si>
  <si>
    <t>D4117</t>
  </si>
  <si>
    <t>D4118</t>
  </si>
  <si>
    <t>D4119</t>
  </si>
  <si>
    <t>D4120</t>
  </si>
  <si>
    <t>D4121</t>
  </si>
  <si>
    <t>D4122</t>
  </si>
  <si>
    <t>D4123</t>
  </si>
  <si>
    <t>D4124</t>
  </si>
  <si>
    <t>D4125</t>
  </si>
  <si>
    <t>D4126</t>
  </si>
  <si>
    <t>D4127</t>
  </si>
  <si>
    <t>D4128</t>
  </si>
  <si>
    <t>D4129</t>
  </si>
  <si>
    <t>D4130</t>
  </si>
  <si>
    <t>D4131</t>
  </si>
  <si>
    <t>D4132</t>
  </si>
  <si>
    <t>D4133</t>
  </si>
  <si>
    <t>D4134</t>
  </si>
  <si>
    <t>D4135</t>
  </si>
  <si>
    <t>D4136</t>
  </si>
  <si>
    <t>D4137</t>
  </si>
  <si>
    <t>D4138</t>
  </si>
  <si>
    <t>D4139</t>
  </si>
  <si>
    <t>D4140</t>
  </si>
  <si>
    <t>D4141</t>
  </si>
  <si>
    <t>D4142</t>
  </si>
  <si>
    <t>D4143</t>
  </si>
  <si>
    <t>D4144</t>
  </si>
  <si>
    <t>D4200</t>
    <phoneticPr fontId="1" type="noConversion"/>
  </si>
  <si>
    <t>位移13计算值</t>
  </si>
  <si>
    <t>位移14计算值</t>
  </si>
  <si>
    <t>位移15计算值</t>
  </si>
  <si>
    <t>位移16计算值</t>
  </si>
  <si>
    <t>位移17计算值</t>
  </si>
  <si>
    <t>位移18计算值</t>
  </si>
  <si>
    <t>位移19计算值</t>
  </si>
  <si>
    <t>位移20计算值</t>
  </si>
  <si>
    <t>位移21计算值</t>
  </si>
  <si>
    <t>位移22计算值</t>
  </si>
  <si>
    <t>位移23计算值</t>
  </si>
  <si>
    <t>位移24计算值</t>
  </si>
  <si>
    <t>位移25计算值</t>
  </si>
  <si>
    <t>位移26计算值</t>
  </si>
  <si>
    <t>位移27计算值</t>
  </si>
  <si>
    <t>位移28计算值</t>
  </si>
  <si>
    <t>位移29计算值</t>
  </si>
  <si>
    <t>位移30计算值</t>
  </si>
  <si>
    <t>位移31计算值</t>
  </si>
  <si>
    <t>位移32计算值</t>
  </si>
  <si>
    <t>位移33计算值</t>
  </si>
  <si>
    <t>位移34计算值</t>
  </si>
  <si>
    <t>位移35计算值</t>
  </si>
  <si>
    <t>位移36计算值</t>
  </si>
  <si>
    <t>D4201</t>
  </si>
  <si>
    <t>D4202</t>
  </si>
  <si>
    <t>D4203</t>
  </si>
  <si>
    <t>D4204</t>
  </si>
  <si>
    <t>D4205</t>
  </si>
  <si>
    <t>D4206</t>
  </si>
  <si>
    <t>D4207</t>
  </si>
  <si>
    <t>D4208</t>
  </si>
  <si>
    <t>D4209</t>
  </si>
  <si>
    <t>D4210</t>
  </si>
  <si>
    <t>D4211</t>
  </si>
  <si>
    <t>D4212</t>
  </si>
  <si>
    <t>D4213</t>
  </si>
  <si>
    <t>D4214</t>
  </si>
  <si>
    <t>D4215</t>
  </si>
  <si>
    <t>D4216</t>
  </si>
  <si>
    <t>D4217</t>
  </si>
  <si>
    <t>D4218</t>
  </si>
  <si>
    <t>D4219</t>
  </si>
  <si>
    <t>D4220</t>
  </si>
  <si>
    <t>D4221</t>
  </si>
  <si>
    <t>D4222</t>
  </si>
  <si>
    <t>D4223</t>
  </si>
  <si>
    <t>D4224</t>
  </si>
  <si>
    <t>D4225</t>
  </si>
  <si>
    <t>D4226</t>
  </si>
  <si>
    <t>D4227</t>
  </si>
  <si>
    <t>D4228</t>
  </si>
  <si>
    <t>D4229</t>
  </si>
  <si>
    <t>D4230</t>
  </si>
  <si>
    <t>D4231</t>
  </si>
  <si>
    <t>D4232</t>
  </si>
  <si>
    <t>D4233</t>
  </si>
  <si>
    <t>D4234</t>
  </si>
  <si>
    <t>D4235</t>
  </si>
  <si>
    <t>D4236</t>
  </si>
  <si>
    <t>D4237</t>
  </si>
  <si>
    <t>D4238</t>
  </si>
  <si>
    <t>D4239</t>
  </si>
  <si>
    <t>D4240</t>
  </si>
  <si>
    <t>D4241</t>
  </si>
  <si>
    <t>D4242</t>
  </si>
  <si>
    <t>D4243</t>
  </si>
  <si>
    <t>D4244</t>
  </si>
  <si>
    <t>D4145</t>
  </si>
  <si>
    <t>D4146</t>
  </si>
  <si>
    <t>D4245</t>
  </si>
  <si>
    <t>D4246</t>
  </si>
  <si>
    <t>管路温度采集值</t>
    <phoneticPr fontId="1" type="noConversion"/>
  </si>
  <si>
    <t>管路湿度采集值</t>
    <phoneticPr fontId="1" type="noConversion"/>
  </si>
  <si>
    <t>位移13修正值</t>
  </si>
  <si>
    <t>位移14修正值</t>
  </si>
  <si>
    <t>位移15修正值</t>
  </si>
  <si>
    <t>位移16修正值</t>
  </si>
  <si>
    <t>位移17修正值</t>
  </si>
  <si>
    <t>位移18修正值</t>
  </si>
  <si>
    <t>位移19修正值</t>
  </si>
  <si>
    <t>位移20修正值</t>
  </si>
  <si>
    <t>位移21修正值</t>
  </si>
  <si>
    <t>位移22修正值</t>
  </si>
  <si>
    <t>位移23修正值</t>
  </si>
  <si>
    <t>位移24修正值</t>
  </si>
  <si>
    <t>位移25修正值</t>
  </si>
  <si>
    <t>位移26修正值</t>
  </si>
  <si>
    <t>位移27修正值</t>
  </si>
  <si>
    <t>位移28修正值</t>
  </si>
  <si>
    <t>位移29修正值</t>
  </si>
  <si>
    <t>位移30修正值</t>
  </si>
  <si>
    <t>位移31修正值</t>
  </si>
  <si>
    <t>位移32修正值</t>
  </si>
  <si>
    <t>位移33修正值</t>
  </si>
  <si>
    <t>位移34修正值</t>
  </si>
  <si>
    <t>位移35修正值</t>
  </si>
  <si>
    <t>位移36修正值</t>
  </si>
  <si>
    <t>管路温度修正值</t>
    <phoneticPr fontId="1" type="noConversion"/>
  </si>
  <si>
    <t>管路湿度修正值</t>
    <phoneticPr fontId="1" type="noConversion"/>
  </si>
  <si>
    <t>D4019</t>
  </si>
  <si>
    <t>D4020</t>
  </si>
  <si>
    <t>D4021</t>
  </si>
  <si>
    <t>D4022</t>
  </si>
  <si>
    <t>D4023</t>
  </si>
  <si>
    <t>D4024</t>
  </si>
  <si>
    <t>D4025</t>
  </si>
  <si>
    <t>D4026</t>
  </si>
  <si>
    <t>D4027</t>
  </si>
  <si>
    <t>D4028</t>
  </si>
  <si>
    <t>D4029</t>
  </si>
  <si>
    <t>D4030</t>
  </si>
  <si>
    <t>管路温度计算值</t>
    <phoneticPr fontId="1" type="noConversion"/>
  </si>
  <si>
    <t>管路湿度计算值</t>
    <phoneticPr fontId="1" type="noConversion"/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</si>
  <si>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</si>
  <si>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</si>
  <si>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</si>
  <si>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</si>
  <si>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</si>
  <si>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</si>
  <si>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</si>
  <si>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</si>
  <si>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</si>
  <si>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</si>
  <si>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</si>
  <si>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</si>
  <si>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</si>
  <si>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</si>
  <si>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</si>
  <si>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</si>
  <si>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</si>
  <si>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</si>
  <si>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</si>
  <si>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</si>
  <si>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</si>
  <si>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</si>
  <si>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</si>
  <si>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</si>
  <si>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</si>
  <si>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</si>
  <si>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模块</t>
    <phoneticPr fontId="1" type="noConversion"/>
  </si>
  <si>
    <t>通信地址</t>
    <phoneticPr fontId="1" type="noConversion"/>
  </si>
  <si>
    <t>交换地址</t>
    <phoneticPr fontId="1" type="noConversion"/>
  </si>
  <si>
    <t>AD1</t>
    <phoneticPr fontId="1" type="noConversion"/>
  </si>
  <si>
    <t>AD2</t>
  </si>
  <si>
    <t>AD3</t>
  </si>
  <si>
    <t>AD4</t>
  </si>
  <si>
    <t>AD5</t>
  </si>
  <si>
    <t>AD6</t>
  </si>
  <si>
    <t>AD7</t>
  </si>
  <si>
    <t>AD8</t>
  </si>
  <si>
    <t>AD9</t>
  </si>
  <si>
    <t>4通道</t>
    <phoneticPr fontId="1" type="noConversion"/>
  </si>
  <si>
    <t>6通道</t>
    <phoneticPr fontId="1" type="noConversion"/>
  </si>
  <si>
    <t>换向阀</t>
    <phoneticPr fontId="1" type="noConversion"/>
  </si>
  <si>
    <t>地址8预留</t>
    <phoneticPr fontId="1" type="noConversion"/>
  </si>
  <si>
    <t>采集</t>
    <phoneticPr fontId="1" type="noConversion"/>
  </si>
  <si>
    <t>输出</t>
    <phoneticPr fontId="1" type="noConversion"/>
  </si>
  <si>
    <t>D1483</t>
    <phoneticPr fontId="1" type="noConversion"/>
  </si>
  <si>
    <t>D1515</t>
    <phoneticPr fontId="1" type="noConversion"/>
  </si>
  <si>
    <t>D1547</t>
    <phoneticPr fontId="1" type="noConversion"/>
  </si>
  <si>
    <t>D1579</t>
    <phoneticPr fontId="1" type="noConversion"/>
  </si>
  <si>
    <t>D1611</t>
    <phoneticPr fontId="1" type="noConversion"/>
  </si>
  <si>
    <t>D1652</t>
    <phoneticPr fontId="1" type="noConversion"/>
  </si>
  <si>
    <t>D1677</t>
    <phoneticPr fontId="1" type="noConversion"/>
  </si>
  <si>
    <t>D1709</t>
    <phoneticPr fontId="1" type="noConversion"/>
  </si>
  <si>
    <t>D1741</t>
    <phoneticPr fontId="1" type="noConversion"/>
  </si>
  <si>
    <t>D1771</t>
    <phoneticPr fontId="1" type="noConversion"/>
  </si>
  <si>
    <t>D1803</t>
    <phoneticPr fontId="1" type="noConversion"/>
  </si>
  <si>
    <t>位移1-4</t>
    <phoneticPr fontId="1" type="noConversion"/>
  </si>
  <si>
    <t>位移5-8</t>
    <phoneticPr fontId="1" type="noConversion"/>
  </si>
  <si>
    <t>位移9-12</t>
    <phoneticPr fontId="1" type="noConversion"/>
  </si>
  <si>
    <t>位移13-18</t>
    <phoneticPr fontId="1" type="noConversion"/>
  </si>
  <si>
    <t>位移19-24</t>
    <phoneticPr fontId="1" type="noConversion"/>
  </si>
  <si>
    <t>位移25-30</t>
    <phoneticPr fontId="1" type="noConversion"/>
  </si>
  <si>
    <t>位移31-34</t>
    <phoneticPr fontId="1" type="noConversion"/>
  </si>
  <si>
    <t>位移35-36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</si>
</sst>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sz val="8"/>
      <color theme="1"/>
      <name val="黑体"/>
      <family val="3"/>
      <charset val="134"/>
    </font>
    <font>
      <sz val="9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opLeftCell="A43" zoomScale="130" zoomScaleNormal="130" workbookViewId="0">
      <selection activeCell="H72" sqref="H72:H79"/>
    </sheetView>
  </sheetViews>
  <sheetFormatPr defaultRowHeight="18" customHeight="1" x14ac:dyDescent="0.2"/>
  <cols>
    <col min="1" max="2" width="4.5" style="7" bestFit="1" customWidth="1"/>
    <col min="3" max="4" width="11.25" style="7" bestFit="1" customWidth="1"/>
    <col min="5" max="5" width="9.375" style="7" bestFit="1" customWidth="1"/>
    <col min="6" max="6" width="8.375" style="7" customWidth="1"/>
    <col min="7" max="7" width="7.5" style="7" bestFit="1" customWidth="1"/>
    <col min="8" max="8" width="9" style="7" bestFit="1" customWidth="1"/>
    <col min="9" max="9" width="4.5" style="7" bestFit="1" customWidth="1"/>
    <col min="10" max="10" width="8.375" style="7" customWidth="1"/>
    <col min="11" max="16384" width="9" style="7"/>
  </cols>
  <sheetData>
    <row r="1" spans="1:10" s="10" customFormat="1" ht="18" customHeight="1" x14ac:dyDescent="0.2">
      <c r="A1" s="9" t="s">
        <v>0</v>
      </c>
      <c r="B1" s="9" t="s">
        <v>1</v>
      </c>
      <c r="C1" s="9" t="s">
        <v>5</v>
      </c>
      <c r="D1" s="9" t="s">
        <v>6</v>
      </c>
      <c r="E1" s="9" t="s">
        <v>2</v>
      </c>
      <c r="F1" s="9" t="s">
        <v>61</v>
      </c>
      <c r="G1" s="9" t="s">
        <v>72</v>
      </c>
      <c r="H1" s="9" t="s">
        <v>73</v>
      </c>
      <c r="I1" s="9" t="s">
        <v>48</v>
      </c>
      <c r="J1" s="9" t="s">
        <v>47</v>
      </c>
    </row>
    <row r="2" spans="1:10" ht="18" customHeight="1" x14ac:dyDescent="0.2">
      <c r="A2" s="38" t="s">
        <v>3</v>
      </c>
      <c r="B2" s="1">
        <v>1</v>
      </c>
      <c r="C2" s="1" t="s">
        <v>41</v>
      </c>
      <c r="D2" s="1" t="s">
        <v>42</v>
      </c>
      <c r="E2" s="1" t="s">
        <v>44</v>
      </c>
      <c r="F2" s="1" t="s">
        <v>62</v>
      </c>
      <c r="G2" s="1" t="s">
        <v>49</v>
      </c>
      <c r="H2" s="1" t="s">
        <v>49</v>
      </c>
      <c r="I2" s="1" t="s">
        <v>49</v>
      </c>
      <c r="J2" s="22" t="s">
        <v>97</v>
      </c>
    </row>
    <row r="3" spans="1:10" ht="18" customHeight="1" x14ac:dyDescent="0.2">
      <c r="A3" s="38"/>
      <c r="B3" s="1">
        <v>2</v>
      </c>
      <c r="C3" s="1" t="s">
        <v>89</v>
      </c>
      <c r="D3" s="1"/>
      <c r="E3" s="1"/>
      <c r="F3" s="1" t="s">
        <v>62</v>
      </c>
      <c r="G3" s="1" t="s">
        <v>50</v>
      </c>
      <c r="H3" s="1" t="s">
        <v>49</v>
      </c>
      <c r="I3" s="1" t="s">
        <v>49</v>
      </c>
      <c r="J3" s="22"/>
    </row>
    <row r="4" spans="1:10" ht="18" customHeight="1" x14ac:dyDescent="0.2">
      <c r="A4" s="38"/>
      <c r="B4" s="1">
        <v>3</v>
      </c>
      <c r="C4" s="1" t="s">
        <v>89</v>
      </c>
      <c r="D4" s="1"/>
      <c r="E4" s="1"/>
      <c r="F4" s="1" t="s">
        <v>62</v>
      </c>
      <c r="G4" s="1" t="s">
        <v>51</v>
      </c>
      <c r="H4" s="1" t="s">
        <v>49</v>
      </c>
      <c r="I4" s="1" t="s">
        <v>49</v>
      </c>
      <c r="J4" s="1"/>
    </row>
    <row r="5" spans="1:10" ht="18" customHeight="1" x14ac:dyDescent="0.2">
      <c r="A5" s="38"/>
      <c r="B5" s="1">
        <v>4</v>
      </c>
      <c r="C5" s="1" t="s">
        <v>89</v>
      </c>
      <c r="D5" s="1"/>
      <c r="E5" s="1"/>
      <c r="F5" s="1" t="s">
        <v>62</v>
      </c>
      <c r="G5" s="1" t="s">
        <v>52</v>
      </c>
      <c r="H5" s="1" t="s">
        <v>49</v>
      </c>
      <c r="I5" s="1" t="s">
        <v>49</v>
      </c>
      <c r="J5" s="1"/>
    </row>
    <row r="6" spans="1:10" ht="18" customHeight="1" x14ac:dyDescent="0.2">
      <c r="A6" s="38"/>
      <c r="B6" s="1">
        <v>5</v>
      </c>
      <c r="C6" s="1" t="s">
        <v>89</v>
      </c>
      <c r="D6" s="1"/>
      <c r="E6" s="1"/>
      <c r="F6" s="1" t="s">
        <v>62</v>
      </c>
      <c r="G6" s="1" t="s">
        <v>53</v>
      </c>
      <c r="H6" s="1" t="s">
        <v>49</v>
      </c>
      <c r="I6" s="1" t="s">
        <v>49</v>
      </c>
      <c r="J6" s="1"/>
    </row>
    <row r="7" spans="1:10" ht="18" customHeight="1" x14ac:dyDescent="0.2">
      <c r="A7" s="38"/>
      <c r="B7" s="1">
        <v>6</v>
      </c>
      <c r="C7" s="1" t="s">
        <v>89</v>
      </c>
      <c r="D7" s="1"/>
      <c r="E7" s="1"/>
      <c r="F7" s="1" t="s">
        <v>62</v>
      </c>
      <c r="G7" s="1" t="s">
        <v>9</v>
      </c>
      <c r="H7" s="1" t="s">
        <v>49</v>
      </c>
      <c r="I7" s="1" t="s">
        <v>49</v>
      </c>
      <c r="J7" s="1"/>
    </row>
    <row r="8" spans="1:10" ht="18" customHeight="1" x14ac:dyDescent="0.2">
      <c r="A8" s="38"/>
      <c r="B8" s="1">
        <v>7</v>
      </c>
      <c r="C8" s="1" t="s">
        <v>89</v>
      </c>
      <c r="D8" s="1"/>
      <c r="E8" s="1"/>
      <c r="F8" s="1" t="s">
        <v>62</v>
      </c>
      <c r="G8" s="1" t="s">
        <v>10</v>
      </c>
      <c r="H8" s="1" t="s">
        <v>49</v>
      </c>
      <c r="I8" s="1" t="s">
        <v>49</v>
      </c>
      <c r="J8" s="1"/>
    </row>
    <row r="9" spans="1:10" ht="18" customHeight="1" x14ac:dyDescent="0.2">
      <c r="A9" s="38"/>
      <c r="B9" s="1">
        <v>8</v>
      </c>
      <c r="C9" s="1" t="s">
        <v>89</v>
      </c>
      <c r="D9" s="1"/>
      <c r="E9" s="1"/>
      <c r="F9" s="1" t="s">
        <v>62</v>
      </c>
      <c r="G9" s="1" t="s">
        <v>11</v>
      </c>
      <c r="H9" s="1" t="s">
        <v>49</v>
      </c>
      <c r="I9" s="1" t="s">
        <v>49</v>
      </c>
      <c r="J9" s="1"/>
    </row>
    <row r="10" spans="1:10" ht="18" customHeight="1" x14ac:dyDescent="0.2">
      <c r="A10" s="38"/>
      <c r="B10" s="1">
        <v>9</v>
      </c>
      <c r="C10" s="1" t="s">
        <v>89</v>
      </c>
      <c r="D10" s="1"/>
      <c r="E10" s="1"/>
      <c r="F10" s="1" t="s">
        <v>62</v>
      </c>
      <c r="G10" s="1" t="s">
        <v>84</v>
      </c>
      <c r="H10" s="1" t="s">
        <v>84</v>
      </c>
      <c r="I10" s="1" t="s">
        <v>84</v>
      </c>
      <c r="J10" s="1"/>
    </row>
    <row r="11" spans="1:10" ht="18" customHeight="1" x14ac:dyDescent="0.2">
      <c r="A11" s="38"/>
      <c r="B11" s="1">
        <v>10</v>
      </c>
      <c r="C11" s="1" t="s">
        <v>89</v>
      </c>
      <c r="D11" s="1"/>
      <c r="E11" s="1"/>
      <c r="F11" s="1" t="s">
        <v>62</v>
      </c>
      <c r="G11" s="1" t="s">
        <v>90</v>
      </c>
      <c r="H11" s="1" t="s">
        <v>90</v>
      </c>
      <c r="I11" s="1" t="s">
        <v>90</v>
      </c>
      <c r="J11" s="1"/>
    </row>
    <row r="12" spans="1:10" ht="18" customHeight="1" x14ac:dyDescent="0.2">
      <c r="A12" s="38"/>
      <c r="B12" s="1">
        <v>11</v>
      </c>
      <c r="C12" s="1" t="s">
        <v>89</v>
      </c>
      <c r="D12" s="1"/>
      <c r="E12" s="1"/>
      <c r="F12" s="1" t="s">
        <v>62</v>
      </c>
      <c r="G12" s="1" t="s">
        <v>91</v>
      </c>
      <c r="H12" s="1" t="s">
        <v>91</v>
      </c>
      <c r="I12" s="1" t="s">
        <v>91</v>
      </c>
      <c r="J12" s="1"/>
    </row>
    <row r="13" spans="1:10" ht="18" customHeight="1" x14ac:dyDescent="0.2">
      <c r="A13" s="38"/>
      <c r="B13" s="1">
        <v>12</v>
      </c>
      <c r="C13" s="1" t="s">
        <v>89</v>
      </c>
      <c r="D13" s="1"/>
      <c r="E13" s="1"/>
      <c r="F13" s="1" t="s">
        <v>62</v>
      </c>
      <c r="G13" s="1" t="s">
        <v>92</v>
      </c>
      <c r="H13" s="1" t="s">
        <v>92</v>
      </c>
      <c r="I13" s="1" t="s">
        <v>92</v>
      </c>
      <c r="J13" s="1"/>
    </row>
    <row r="14" spans="1:10" ht="18" customHeight="1" x14ac:dyDescent="0.2">
      <c r="A14" s="38"/>
      <c r="B14" s="1">
        <v>13</v>
      </c>
      <c r="C14" s="1" t="s">
        <v>89</v>
      </c>
      <c r="D14" s="1"/>
      <c r="E14" s="1"/>
      <c r="F14" s="1" t="s">
        <v>62</v>
      </c>
      <c r="G14" s="1" t="s">
        <v>93</v>
      </c>
      <c r="H14" s="1" t="s">
        <v>93</v>
      </c>
      <c r="I14" s="1" t="s">
        <v>93</v>
      </c>
      <c r="J14" s="1"/>
    </row>
    <row r="15" spans="1:10" ht="18" customHeight="1" x14ac:dyDescent="0.2">
      <c r="A15" s="38"/>
      <c r="B15" s="1">
        <v>14</v>
      </c>
      <c r="C15" s="1" t="s">
        <v>89</v>
      </c>
      <c r="D15" s="1"/>
      <c r="E15" s="1"/>
      <c r="F15" s="1" t="s">
        <v>62</v>
      </c>
      <c r="G15" s="1" t="s">
        <v>94</v>
      </c>
      <c r="H15" s="1" t="s">
        <v>94</v>
      </c>
      <c r="I15" s="1" t="s">
        <v>94</v>
      </c>
      <c r="J15" s="1"/>
    </row>
    <row r="16" spans="1:10" ht="18" customHeight="1" x14ac:dyDescent="0.2">
      <c r="A16" s="38"/>
      <c r="B16" s="1">
        <v>15</v>
      </c>
      <c r="C16" s="1" t="s">
        <v>89</v>
      </c>
      <c r="D16" s="1"/>
      <c r="E16" s="1"/>
      <c r="F16" s="1" t="s">
        <v>62</v>
      </c>
      <c r="G16" s="1" t="s">
        <v>95</v>
      </c>
      <c r="H16" s="1" t="s">
        <v>95</v>
      </c>
      <c r="I16" s="1" t="s">
        <v>95</v>
      </c>
      <c r="J16" s="1"/>
    </row>
    <row r="17" spans="1:10" ht="18" customHeight="1" x14ac:dyDescent="0.2">
      <c r="A17" s="38"/>
      <c r="B17" s="1">
        <v>16</v>
      </c>
      <c r="C17" s="1" t="s">
        <v>89</v>
      </c>
      <c r="D17" s="1"/>
      <c r="E17" s="1"/>
      <c r="F17" s="1" t="s">
        <v>62</v>
      </c>
      <c r="G17" s="1" t="s">
        <v>96</v>
      </c>
      <c r="H17" s="1" t="s">
        <v>96</v>
      </c>
      <c r="I17" s="1" t="s">
        <v>96</v>
      </c>
      <c r="J17" s="1"/>
    </row>
    <row r="18" spans="1:10" ht="18" customHeight="1" x14ac:dyDescent="0.2">
      <c r="A18" s="38" t="s">
        <v>4</v>
      </c>
      <c r="B18" s="1">
        <v>1</v>
      </c>
      <c r="C18" s="1" t="s">
        <v>829</v>
      </c>
      <c r="D18" s="1" t="s">
        <v>29</v>
      </c>
      <c r="E18" s="1" t="s">
        <v>99</v>
      </c>
      <c r="F18" s="1" t="s">
        <v>62</v>
      </c>
      <c r="G18" s="1" t="s">
        <v>12</v>
      </c>
      <c r="H18" s="1" t="s">
        <v>12</v>
      </c>
      <c r="I18" s="1" t="s">
        <v>12</v>
      </c>
      <c r="J18" s="1" t="s">
        <v>88</v>
      </c>
    </row>
    <row r="19" spans="1:10" ht="18" customHeight="1" x14ac:dyDescent="0.2">
      <c r="A19" s="38"/>
      <c r="B19" s="1">
        <v>2</v>
      </c>
      <c r="C19" s="1" t="s">
        <v>830</v>
      </c>
      <c r="D19" s="1" t="s">
        <v>29</v>
      </c>
      <c r="E19" s="1" t="s">
        <v>99</v>
      </c>
      <c r="F19" s="1" t="s">
        <v>62</v>
      </c>
      <c r="G19" s="1" t="s">
        <v>13</v>
      </c>
      <c r="H19" s="1" t="s">
        <v>13</v>
      </c>
      <c r="I19" s="1" t="s">
        <v>13</v>
      </c>
      <c r="J19" s="1" t="s">
        <v>88</v>
      </c>
    </row>
    <row r="20" spans="1:10" ht="18" customHeight="1" x14ac:dyDescent="0.2">
      <c r="A20" s="38"/>
      <c r="B20" s="1">
        <v>3</v>
      </c>
      <c r="C20" s="1" t="s">
        <v>831</v>
      </c>
      <c r="D20" s="1" t="s">
        <v>29</v>
      </c>
      <c r="E20" s="1" t="s">
        <v>99</v>
      </c>
      <c r="F20" s="1" t="s">
        <v>62</v>
      </c>
      <c r="G20" s="1" t="s">
        <v>14</v>
      </c>
      <c r="H20" s="1" t="s">
        <v>14</v>
      </c>
      <c r="I20" s="1" t="s">
        <v>14</v>
      </c>
      <c r="J20" s="1" t="s">
        <v>88</v>
      </c>
    </row>
    <row r="21" spans="1:10" ht="18" customHeight="1" x14ac:dyDescent="0.2">
      <c r="A21" s="38"/>
      <c r="B21" s="1">
        <v>4</v>
      </c>
      <c r="C21" s="1" t="s">
        <v>832</v>
      </c>
      <c r="D21" s="1" t="s">
        <v>29</v>
      </c>
      <c r="E21" s="1" t="s">
        <v>99</v>
      </c>
      <c r="F21" s="1" t="s">
        <v>62</v>
      </c>
      <c r="G21" s="1" t="s">
        <v>15</v>
      </c>
      <c r="H21" s="1" t="s">
        <v>15</v>
      </c>
      <c r="I21" s="1" t="s">
        <v>15</v>
      </c>
      <c r="J21" s="1" t="s">
        <v>88</v>
      </c>
    </row>
    <row r="22" spans="1:10" ht="18" customHeight="1" x14ac:dyDescent="0.2">
      <c r="A22" s="38"/>
      <c r="B22" s="1">
        <v>5</v>
      </c>
      <c r="C22" s="41" t="s">
        <v>34</v>
      </c>
      <c r="D22" s="1" t="s">
        <v>175</v>
      </c>
      <c r="E22" s="1" t="s">
        <v>99</v>
      </c>
      <c r="F22" s="1" t="s">
        <v>62</v>
      </c>
      <c r="G22" s="1" t="s">
        <v>16</v>
      </c>
      <c r="H22" s="1" t="s">
        <v>16</v>
      </c>
      <c r="I22" s="1" t="s">
        <v>16</v>
      </c>
      <c r="J22" s="1"/>
    </row>
    <row r="23" spans="1:10" ht="18" customHeight="1" x14ac:dyDescent="0.2">
      <c r="A23" s="38"/>
      <c r="B23" s="1">
        <v>6</v>
      </c>
      <c r="C23" s="42"/>
      <c r="D23" s="1" t="s">
        <v>176</v>
      </c>
      <c r="E23" s="1" t="s">
        <v>99</v>
      </c>
      <c r="F23" s="1" t="s">
        <v>62</v>
      </c>
      <c r="G23" s="1" t="s">
        <v>17</v>
      </c>
      <c r="H23" s="1" t="s">
        <v>17</v>
      </c>
      <c r="I23" s="1" t="s">
        <v>17</v>
      </c>
      <c r="J23" s="1"/>
    </row>
    <row r="24" spans="1:10" ht="18" customHeight="1" x14ac:dyDescent="0.2">
      <c r="A24" s="38"/>
      <c r="B24" s="1">
        <v>7</v>
      </c>
      <c r="C24" s="41" t="s">
        <v>35</v>
      </c>
      <c r="D24" s="1" t="s">
        <v>177</v>
      </c>
      <c r="E24" s="1" t="s">
        <v>99</v>
      </c>
      <c r="F24" s="1" t="s">
        <v>62</v>
      </c>
      <c r="G24" s="1" t="s">
        <v>54</v>
      </c>
      <c r="H24" s="1" t="s">
        <v>54</v>
      </c>
      <c r="I24" s="1" t="s">
        <v>54</v>
      </c>
      <c r="J24" s="1"/>
    </row>
    <row r="25" spans="1:10" ht="18" customHeight="1" x14ac:dyDescent="0.2">
      <c r="A25" s="38"/>
      <c r="B25" s="1">
        <v>8</v>
      </c>
      <c r="C25" s="42"/>
      <c r="D25" s="1" t="s">
        <v>178</v>
      </c>
      <c r="E25" s="1" t="s">
        <v>99</v>
      </c>
      <c r="F25" s="1" t="s">
        <v>62</v>
      </c>
      <c r="G25" s="1" t="s">
        <v>55</v>
      </c>
      <c r="H25" s="1" t="s">
        <v>55</v>
      </c>
      <c r="I25" s="1" t="s">
        <v>55</v>
      </c>
      <c r="J25" s="1"/>
    </row>
    <row r="26" spans="1:10" ht="18" customHeight="1" x14ac:dyDescent="0.2">
      <c r="A26" s="38"/>
      <c r="B26" s="1">
        <v>9</v>
      </c>
      <c r="C26" s="41" t="s">
        <v>36</v>
      </c>
      <c r="D26" s="1" t="s">
        <v>179</v>
      </c>
      <c r="E26" s="1" t="s">
        <v>99</v>
      </c>
      <c r="F26" s="1" t="s">
        <v>62</v>
      </c>
      <c r="G26" s="1" t="s">
        <v>85</v>
      </c>
      <c r="H26" s="1" t="s">
        <v>85</v>
      </c>
      <c r="I26" s="1" t="s">
        <v>85</v>
      </c>
      <c r="J26" s="1"/>
    </row>
    <row r="27" spans="1:10" ht="18" customHeight="1" x14ac:dyDescent="0.2">
      <c r="A27" s="38"/>
      <c r="B27" s="1">
        <v>10</v>
      </c>
      <c r="C27" s="42"/>
      <c r="D27" s="1" t="s">
        <v>180</v>
      </c>
      <c r="E27" s="1" t="s">
        <v>99</v>
      </c>
      <c r="F27" s="1" t="s">
        <v>62</v>
      </c>
      <c r="G27" s="1" t="s">
        <v>56</v>
      </c>
      <c r="H27" s="1" t="s">
        <v>56</v>
      </c>
      <c r="I27" s="1" t="s">
        <v>56</v>
      </c>
      <c r="J27" s="1"/>
    </row>
    <row r="28" spans="1:10" ht="18" customHeight="1" x14ac:dyDescent="0.2">
      <c r="A28" s="38"/>
      <c r="B28" s="1">
        <v>11</v>
      </c>
      <c r="C28" s="1" t="s">
        <v>43</v>
      </c>
      <c r="D28" s="1" t="s">
        <v>29</v>
      </c>
      <c r="E28" s="1" t="s">
        <v>99</v>
      </c>
      <c r="F28" s="1" t="s">
        <v>62</v>
      </c>
      <c r="G28" s="1" t="s">
        <v>57</v>
      </c>
      <c r="H28" s="1" t="s">
        <v>57</v>
      </c>
      <c r="I28" s="1" t="s">
        <v>57</v>
      </c>
      <c r="J28" s="1"/>
    </row>
    <row r="29" spans="1:10" ht="18" customHeight="1" x14ac:dyDescent="0.2">
      <c r="A29" s="38"/>
      <c r="B29" s="1">
        <v>12</v>
      </c>
      <c r="C29" s="7" t="s">
        <v>833</v>
      </c>
      <c r="D29" s="1" t="s">
        <v>181</v>
      </c>
      <c r="E29" s="1" t="s">
        <v>99</v>
      </c>
      <c r="F29" s="1" t="s">
        <v>62</v>
      </c>
      <c r="G29" s="1" t="s">
        <v>58</v>
      </c>
      <c r="H29" s="1" t="s">
        <v>58</v>
      </c>
      <c r="I29" s="1" t="s">
        <v>58</v>
      </c>
      <c r="J29" s="1"/>
    </row>
    <row r="30" spans="1:10" ht="18" customHeight="1" x14ac:dyDescent="0.2">
      <c r="A30" s="38"/>
      <c r="B30" s="1">
        <v>13</v>
      </c>
      <c r="C30" s="7" t="s">
        <v>834</v>
      </c>
      <c r="D30" s="1" t="s">
        <v>181</v>
      </c>
      <c r="E30" s="1" t="s">
        <v>99</v>
      </c>
      <c r="F30" s="1" t="s">
        <v>62</v>
      </c>
      <c r="G30" s="1" t="s">
        <v>59</v>
      </c>
      <c r="H30" s="1" t="s">
        <v>59</v>
      </c>
      <c r="I30" s="1" t="s">
        <v>59</v>
      </c>
      <c r="J30" s="1"/>
    </row>
    <row r="31" spans="1:10" ht="18" customHeight="1" x14ac:dyDescent="0.2">
      <c r="A31" s="38"/>
      <c r="B31" s="1">
        <v>14</v>
      </c>
      <c r="C31" s="7" t="s">
        <v>835</v>
      </c>
      <c r="D31" s="1" t="s">
        <v>181</v>
      </c>
      <c r="E31" s="1" t="s">
        <v>99</v>
      </c>
      <c r="F31" s="1" t="s">
        <v>62</v>
      </c>
      <c r="G31" s="1" t="s">
        <v>60</v>
      </c>
      <c r="H31" s="1" t="s">
        <v>60</v>
      </c>
      <c r="I31" s="1" t="s">
        <v>60</v>
      </c>
      <c r="J31" s="1"/>
    </row>
    <row r="32" spans="1:10" ht="18" customHeight="1" x14ac:dyDescent="0.2">
      <c r="A32" s="38"/>
      <c r="B32" s="1">
        <v>15</v>
      </c>
      <c r="C32" s="7" t="s">
        <v>836</v>
      </c>
      <c r="D32" s="1" t="s">
        <v>181</v>
      </c>
      <c r="E32" s="1" t="s">
        <v>99</v>
      </c>
      <c r="F32" s="1" t="s">
        <v>62</v>
      </c>
      <c r="G32" s="1" t="s">
        <v>86</v>
      </c>
      <c r="H32" s="1" t="s">
        <v>86</v>
      </c>
      <c r="I32" s="1" t="s">
        <v>86</v>
      </c>
      <c r="J32" s="1"/>
    </row>
    <row r="33" spans="1:10" ht="18" customHeight="1" x14ac:dyDescent="0.2">
      <c r="A33" s="38"/>
      <c r="B33" s="1">
        <v>16</v>
      </c>
      <c r="C33" s="1" t="s">
        <v>837</v>
      </c>
      <c r="D33" s="1" t="s">
        <v>37</v>
      </c>
      <c r="E33" s="1"/>
      <c r="F33" s="1" t="s">
        <v>62</v>
      </c>
      <c r="G33" s="1" t="s">
        <v>87</v>
      </c>
      <c r="H33" s="1" t="s">
        <v>87</v>
      </c>
      <c r="I33" s="1" t="s">
        <v>87</v>
      </c>
      <c r="J33" s="1"/>
    </row>
    <row r="34" spans="1:10" ht="18" customHeight="1" x14ac:dyDescent="0.2">
      <c r="A34" s="38" t="s">
        <v>33</v>
      </c>
      <c r="B34" s="1">
        <v>1</v>
      </c>
      <c r="C34" s="1" t="s">
        <v>827</v>
      </c>
      <c r="D34" s="1" t="s">
        <v>182</v>
      </c>
      <c r="E34" s="1" t="s">
        <v>46</v>
      </c>
      <c r="F34" s="1" t="s">
        <v>63</v>
      </c>
      <c r="G34" s="1" t="s">
        <v>68</v>
      </c>
      <c r="H34" s="1" t="s">
        <v>74</v>
      </c>
      <c r="I34" s="1"/>
      <c r="J34" s="1"/>
    </row>
    <row r="35" spans="1:10" ht="18" customHeight="1" x14ac:dyDescent="0.2">
      <c r="A35" s="38"/>
      <c r="B35" s="1">
        <v>2</v>
      </c>
      <c r="C35" s="1" t="s">
        <v>828</v>
      </c>
      <c r="D35" s="1" t="s">
        <v>182</v>
      </c>
      <c r="E35" s="1" t="s">
        <v>46</v>
      </c>
      <c r="F35" s="1" t="s">
        <v>63</v>
      </c>
      <c r="G35" s="1" t="s">
        <v>69</v>
      </c>
      <c r="H35" s="1" t="s">
        <v>75</v>
      </c>
      <c r="I35" s="1"/>
      <c r="J35" s="1"/>
    </row>
    <row r="36" spans="1:10" ht="18" customHeight="1" x14ac:dyDescent="0.2">
      <c r="A36" s="38"/>
      <c r="B36" s="1">
        <v>3</v>
      </c>
      <c r="C36" s="1" t="s">
        <v>89</v>
      </c>
      <c r="D36" s="1"/>
      <c r="E36" s="1"/>
      <c r="F36" s="1" t="s">
        <v>63</v>
      </c>
      <c r="G36" s="1" t="s">
        <v>70</v>
      </c>
      <c r="H36" s="1" t="s">
        <v>100</v>
      </c>
      <c r="I36" s="1"/>
      <c r="J36" s="1"/>
    </row>
    <row r="37" spans="1:10" ht="18" customHeight="1" x14ac:dyDescent="0.2">
      <c r="A37" s="38"/>
      <c r="B37" s="1">
        <v>4</v>
      </c>
      <c r="C37" s="1" t="s">
        <v>89</v>
      </c>
      <c r="D37" s="1"/>
      <c r="E37" s="1"/>
      <c r="F37" s="1" t="s">
        <v>63</v>
      </c>
      <c r="G37" s="1" t="s">
        <v>71</v>
      </c>
      <c r="H37" s="1" t="s">
        <v>101</v>
      </c>
      <c r="I37" s="1"/>
      <c r="J37" s="1"/>
    </row>
    <row r="38" spans="1:10" ht="18" customHeight="1" x14ac:dyDescent="0.2">
      <c r="A38" s="39" t="s">
        <v>7</v>
      </c>
      <c r="B38" s="1">
        <v>1</v>
      </c>
      <c r="C38" s="1" t="s">
        <v>98</v>
      </c>
      <c r="D38" s="1" t="s">
        <v>32</v>
      </c>
      <c r="E38" s="1" t="s">
        <v>46</v>
      </c>
      <c r="F38" s="1" t="s">
        <v>64</v>
      </c>
      <c r="G38" s="1" t="s">
        <v>68</v>
      </c>
      <c r="H38" s="1" t="s">
        <v>76</v>
      </c>
      <c r="I38" s="1"/>
      <c r="J38" s="1"/>
    </row>
    <row r="39" spans="1:10" ht="18" customHeight="1" x14ac:dyDescent="0.2">
      <c r="A39" s="40"/>
      <c r="B39" s="1">
        <v>2</v>
      </c>
      <c r="C39" s="1" t="s">
        <v>21</v>
      </c>
      <c r="D39" s="1" t="s">
        <v>32</v>
      </c>
      <c r="E39" s="1" t="s">
        <v>46</v>
      </c>
      <c r="F39" s="1" t="s">
        <v>64</v>
      </c>
      <c r="G39" s="1" t="s">
        <v>69</v>
      </c>
      <c r="H39" s="1" t="s">
        <v>77</v>
      </c>
      <c r="I39" s="1"/>
      <c r="J39" s="1"/>
    </row>
    <row r="40" spans="1:10" ht="18" customHeight="1" x14ac:dyDescent="0.2">
      <c r="A40" s="40"/>
      <c r="B40" s="1">
        <v>3</v>
      </c>
      <c r="C40" s="1" t="s">
        <v>22</v>
      </c>
      <c r="D40" s="1" t="s">
        <v>32</v>
      </c>
      <c r="E40" s="1" t="s">
        <v>46</v>
      </c>
      <c r="F40" s="1" t="s">
        <v>64</v>
      </c>
      <c r="G40" s="1" t="s">
        <v>70</v>
      </c>
      <c r="H40" s="1" t="s">
        <v>78</v>
      </c>
      <c r="I40" s="1"/>
      <c r="J40" s="1"/>
    </row>
    <row r="41" spans="1:10" ht="18" customHeight="1" x14ac:dyDescent="0.2">
      <c r="A41" s="40"/>
      <c r="B41" s="1">
        <v>4</v>
      </c>
      <c r="C41" s="1" t="s">
        <v>23</v>
      </c>
      <c r="D41" s="1" t="s">
        <v>32</v>
      </c>
      <c r="E41" s="1" t="s">
        <v>46</v>
      </c>
      <c r="F41" s="1" t="s">
        <v>64</v>
      </c>
      <c r="G41" s="1" t="s">
        <v>71</v>
      </c>
      <c r="H41" s="1" t="s">
        <v>79</v>
      </c>
      <c r="I41" s="1"/>
      <c r="J41" s="1"/>
    </row>
    <row r="42" spans="1:10" ht="18" customHeight="1" x14ac:dyDescent="0.2">
      <c r="A42" s="40"/>
      <c r="B42" s="1">
        <v>5</v>
      </c>
      <c r="C42" s="1" t="s">
        <v>24</v>
      </c>
      <c r="D42" s="1" t="s">
        <v>32</v>
      </c>
      <c r="E42" s="1" t="s">
        <v>46</v>
      </c>
      <c r="F42" s="1" t="s">
        <v>65</v>
      </c>
      <c r="G42" s="1" t="s">
        <v>68</v>
      </c>
      <c r="H42" s="1" t="s">
        <v>76</v>
      </c>
      <c r="I42" s="1"/>
      <c r="J42" s="1"/>
    </row>
    <row r="43" spans="1:10" ht="18" customHeight="1" x14ac:dyDescent="0.2">
      <c r="A43" s="40"/>
      <c r="B43" s="1">
        <v>6</v>
      </c>
      <c r="C43" s="1" t="s">
        <v>25</v>
      </c>
      <c r="D43" s="1" t="s">
        <v>32</v>
      </c>
      <c r="E43" s="1" t="s">
        <v>46</v>
      </c>
      <c r="F43" s="1" t="s">
        <v>65</v>
      </c>
      <c r="G43" s="1" t="s">
        <v>69</v>
      </c>
      <c r="H43" s="1" t="s">
        <v>77</v>
      </c>
      <c r="I43" s="1"/>
      <c r="J43" s="1"/>
    </row>
    <row r="44" spans="1:10" ht="18" customHeight="1" x14ac:dyDescent="0.2">
      <c r="A44" s="40"/>
      <c r="B44" s="1">
        <v>7</v>
      </c>
      <c r="C44" s="1" t="s">
        <v>26</v>
      </c>
      <c r="D44" s="1" t="s">
        <v>32</v>
      </c>
      <c r="E44" s="1" t="s">
        <v>46</v>
      </c>
      <c r="F44" s="1" t="s">
        <v>65</v>
      </c>
      <c r="G44" s="1" t="s">
        <v>70</v>
      </c>
      <c r="H44" s="1" t="s">
        <v>78</v>
      </c>
      <c r="I44" s="1"/>
      <c r="J44" s="1"/>
    </row>
    <row r="45" spans="1:10" ht="18" customHeight="1" x14ac:dyDescent="0.2">
      <c r="A45" s="40"/>
      <c r="B45" s="1">
        <v>8</v>
      </c>
      <c r="C45" s="1" t="s">
        <v>27</v>
      </c>
      <c r="D45" s="1" t="s">
        <v>32</v>
      </c>
      <c r="E45" s="1" t="s">
        <v>46</v>
      </c>
      <c r="F45" s="1" t="s">
        <v>65</v>
      </c>
      <c r="G45" s="1" t="s">
        <v>71</v>
      </c>
      <c r="H45" s="1" t="s">
        <v>79</v>
      </c>
      <c r="I45" s="1"/>
      <c r="J45" s="1"/>
    </row>
    <row r="46" spans="1:10" ht="18" customHeight="1" x14ac:dyDescent="0.2">
      <c r="A46" s="40"/>
      <c r="B46" s="1">
        <v>9</v>
      </c>
      <c r="C46" s="1" t="s">
        <v>28</v>
      </c>
      <c r="D46" s="1" t="s">
        <v>32</v>
      </c>
      <c r="E46" s="1" t="s">
        <v>46</v>
      </c>
      <c r="F46" s="1" t="s">
        <v>66</v>
      </c>
      <c r="G46" s="1" t="s">
        <v>68</v>
      </c>
      <c r="H46" s="1" t="s">
        <v>76</v>
      </c>
      <c r="I46" s="1"/>
      <c r="J46" s="1"/>
    </row>
    <row r="47" spans="1:10" ht="18" customHeight="1" x14ac:dyDescent="0.2">
      <c r="A47" s="40"/>
      <c r="B47" s="1">
        <v>10</v>
      </c>
      <c r="C47" s="1" t="s">
        <v>38</v>
      </c>
      <c r="D47" s="1" t="s">
        <v>32</v>
      </c>
      <c r="E47" s="1" t="s">
        <v>46</v>
      </c>
      <c r="F47" s="1" t="s">
        <v>66</v>
      </c>
      <c r="G47" s="1" t="s">
        <v>69</v>
      </c>
      <c r="H47" s="1" t="s">
        <v>77</v>
      </c>
      <c r="I47" s="1"/>
      <c r="J47" s="1"/>
    </row>
    <row r="48" spans="1:10" ht="18" customHeight="1" x14ac:dyDescent="0.2">
      <c r="A48" s="40"/>
      <c r="B48" s="1">
        <v>11</v>
      </c>
      <c r="C48" s="1" t="s">
        <v>39</v>
      </c>
      <c r="D48" s="1" t="s">
        <v>32</v>
      </c>
      <c r="E48" s="1" t="s">
        <v>46</v>
      </c>
      <c r="F48" s="1" t="s">
        <v>66</v>
      </c>
      <c r="G48" s="1" t="s">
        <v>70</v>
      </c>
      <c r="H48" s="1" t="s">
        <v>78</v>
      </c>
      <c r="I48" s="1"/>
      <c r="J48" s="1"/>
    </row>
    <row r="49" spans="1:10" ht="18" customHeight="1" x14ac:dyDescent="0.2">
      <c r="A49" s="40"/>
      <c r="B49" s="1">
        <v>12</v>
      </c>
      <c r="C49" s="1" t="s">
        <v>40</v>
      </c>
      <c r="D49" s="1" t="s">
        <v>32</v>
      </c>
      <c r="E49" s="1" t="s">
        <v>46</v>
      </c>
      <c r="F49" s="1" t="s">
        <v>66</v>
      </c>
      <c r="G49" s="1" t="s">
        <v>71</v>
      </c>
      <c r="H49" s="1" t="s">
        <v>79</v>
      </c>
      <c r="I49" s="1"/>
      <c r="J49" s="1"/>
    </row>
    <row r="50" spans="1:10" ht="18" customHeight="1" x14ac:dyDescent="0.2">
      <c r="A50" s="40"/>
      <c r="B50" s="1">
        <v>13</v>
      </c>
      <c r="C50" s="1" t="s">
        <v>823</v>
      </c>
      <c r="D50" s="1" t="s">
        <v>31</v>
      </c>
      <c r="E50" s="1" t="s">
        <v>46</v>
      </c>
      <c r="F50" s="1" t="s">
        <v>67</v>
      </c>
      <c r="G50" s="1" t="s">
        <v>68</v>
      </c>
      <c r="H50" s="1" t="s">
        <v>80</v>
      </c>
      <c r="I50" s="1"/>
      <c r="J50" s="1"/>
    </row>
    <row r="51" spans="1:10" ht="18" customHeight="1" x14ac:dyDescent="0.2">
      <c r="A51" s="40"/>
      <c r="B51" s="1">
        <v>14</v>
      </c>
      <c r="C51" s="1" t="s">
        <v>824</v>
      </c>
      <c r="D51" s="1" t="s">
        <v>31</v>
      </c>
      <c r="E51" s="1" t="s">
        <v>46</v>
      </c>
      <c r="F51" s="1" t="s">
        <v>67</v>
      </c>
      <c r="G51" s="1" t="s">
        <v>69</v>
      </c>
      <c r="H51" s="1" t="s">
        <v>81</v>
      </c>
      <c r="I51" s="1"/>
      <c r="J51" s="1"/>
    </row>
    <row r="52" spans="1:10" ht="18" customHeight="1" x14ac:dyDescent="0.2">
      <c r="A52" s="40"/>
      <c r="B52" s="1">
        <v>15</v>
      </c>
      <c r="C52" s="1" t="s">
        <v>825</v>
      </c>
      <c r="D52" s="1" t="s">
        <v>30</v>
      </c>
      <c r="E52" s="1" t="s">
        <v>46</v>
      </c>
      <c r="F52" s="1" t="s">
        <v>67</v>
      </c>
      <c r="G52" s="1" t="s">
        <v>70</v>
      </c>
      <c r="H52" s="1" t="s">
        <v>82</v>
      </c>
      <c r="I52" s="1"/>
      <c r="J52" s="1"/>
    </row>
    <row r="53" spans="1:10" ht="18" customHeight="1" x14ac:dyDescent="0.2">
      <c r="A53" s="40"/>
      <c r="B53" s="1">
        <v>16</v>
      </c>
      <c r="C53" s="1" t="s">
        <v>826</v>
      </c>
      <c r="D53" s="1" t="s">
        <v>30</v>
      </c>
      <c r="E53" s="1" t="s">
        <v>46</v>
      </c>
      <c r="F53" s="1" t="s">
        <v>67</v>
      </c>
      <c r="G53" s="1" t="s">
        <v>71</v>
      </c>
      <c r="H53" s="1" t="s">
        <v>83</v>
      </c>
      <c r="I53" s="1"/>
      <c r="J53" s="1"/>
    </row>
    <row r="54" spans="1:10" ht="18" customHeight="1" x14ac:dyDescent="0.2">
      <c r="A54" s="40"/>
      <c r="B54" s="1">
        <v>17</v>
      </c>
      <c r="C54" s="1" t="s">
        <v>1075</v>
      </c>
      <c r="D54" s="1" t="s">
        <v>32</v>
      </c>
      <c r="E54" s="1" t="s">
        <v>46</v>
      </c>
      <c r="F54" s="1" t="s">
        <v>1076</v>
      </c>
      <c r="G54" s="1" t="s">
        <v>68</v>
      </c>
      <c r="H54" s="1" t="s">
        <v>76</v>
      </c>
    </row>
    <row r="55" spans="1:10" ht="18" customHeight="1" x14ac:dyDescent="0.2">
      <c r="A55" s="40"/>
      <c r="B55" s="1">
        <v>18</v>
      </c>
      <c r="C55" s="1" t="s">
        <v>1077</v>
      </c>
      <c r="D55" s="1" t="s">
        <v>32</v>
      </c>
      <c r="E55" s="1" t="s">
        <v>46</v>
      </c>
      <c r="F55" s="1" t="s">
        <v>1076</v>
      </c>
      <c r="G55" s="1" t="s">
        <v>69</v>
      </c>
      <c r="H55" s="1" t="s">
        <v>77</v>
      </c>
    </row>
    <row r="56" spans="1:10" ht="18" customHeight="1" x14ac:dyDescent="0.2">
      <c r="A56" s="40"/>
      <c r="B56" s="1">
        <v>19</v>
      </c>
      <c r="C56" s="1" t="s">
        <v>1078</v>
      </c>
      <c r="D56" s="1" t="s">
        <v>32</v>
      </c>
      <c r="E56" s="1" t="s">
        <v>46</v>
      </c>
      <c r="F56" s="1" t="s">
        <v>1076</v>
      </c>
      <c r="G56" s="1" t="s">
        <v>70</v>
      </c>
      <c r="H56" s="1" t="s">
        <v>78</v>
      </c>
    </row>
    <row r="57" spans="1:10" ht="18" customHeight="1" x14ac:dyDescent="0.2">
      <c r="A57" s="40"/>
      <c r="B57" s="1">
        <v>20</v>
      </c>
      <c r="C57" s="1" t="s">
        <v>1079</v>
      </c>
      <c r="D57" s="1" t="s">
        <v>32</v>
      </c>
      <c r="E57" s="1" t="s">
        <v>46</v>
      </c>
      <c r="F57" s="1" t="s">
        <v>1076</v>
      </c>
      <c r="G57" s="1" t="s">
        <v>71</v>
      </c>
      <c r="H57" s="1" t="s">
        <v>79</v>
      </c>
    </row>
    <row r="58" spans="1:10" ht="18" customHeight="1" x14ac:dyDescent="0.2">
      <c r="A58" s="40"/>
      <c r="B58" s="1">
        <v>21</v>
      </c>
      <c r="C58" s="1" t="s">
        <v>1080</v>
      </c>
      <c r="D58" s="1" t="s">
        <v>32</v>
      </c>
      <c r="E58" s="1" t="s">
        <v>46</v>
      </c>
      <c r="F58" s="1" t="s">
        <v>1076</v>
      </c>
      <c r="G58" s="1" t="s">
        <v>1081</v>
      </c>
      <c r="H58" s="1" t="s">
        <v>1082</v>
      </c>
    </row>
    <row r="59" spans="1:10" ht="18" customHeight="1" x14ac:dyDescent="0.2">
      <c r="A59" s="40"/>
      <c r="B59" s="1">
        <v>22</v>
      </c>
      <c r="C59" s="1" t="s">
        <v>1083</v>
      </c>
      <c r="D59" s="1" t="s">
        <v>32</v>
      </c>
      <c r="E59" s="1" t="s">
        <v>46</v>
      </c>
      <c r="F59" s="1" t="s">
        <v>1076</v>
      </c>
      <c r="G59" s="1" t="s">
        <v>1084</v>
      </c>
      <c r="H59" s="1" t="s">
        <v>1085</v>
      </c>
    </row>
    <row r="60" spans="1:10" ht="18" customHeight="1" x14ac:dyDescent="0.2">
      <c r="A60" s="40"/>
      <c r="B60" s="1">
        <v>23</v>
      </c>
      <c r="C60" s="1" t="s">
        <v>1086</v>
      </c>
      <c r="D60" s="1" t="s">
        <v>32</v>
      </c>
      <c r="E60" s="1" t="s">
        <v>46</v>
      </c>
      <c r="F60" s="1" t="s">
        <v>1087</v>
      </c>
      <c r="G60" s="1" t="s">
        <v>68</v>
      </c>
      <c r="H60" s="1" t="s">
        <v>76</v>
      </c>
    </row>
    <row r="61" spans="1:10" ht="18" customHeight="1" x14ac:dyDescent="0.2">
      <c r="A61" s="40"/>
      <c r="B61" s="1">
        <v>24</v>
      </c>
      <c r="C61" s="1" t="s">
        <v>1088</v>
      </c>
      <c r="D61" s="1" t="s">
        <v>32</v>
      </c>
      <c r="E61" s="1" t="s">
        <v>46</v>
      </c>
      <c r="F61" s="1" t="s">
        <v>1087</v>
      </c>
      <c r="G61" s="1" t="s">
        <v>69</v>
      </c>
      <c r="H61" s="1" t="s">
        <v>77</v>
      </c>
    </row>
    <row r="62" spans="1:10" ht="18" customHeight="1" x14ac:dyDescent="0.2">
      <c r="A62" s="40"/>
      <c r="B62" s="1">
        <v>25</v>
      </c>
      <c r="C62" s="1" t="s">
        <v>1089</v>
      </c>
      <c r="D62" s="1" t="s">
        <v>32</v>
      </c>
      <c r="E62" s="1" t="s">
        <v>46</v>
      </c>
      <c r="F62" s="1" t="s">
        <v>1087</v>
      </c>
      <c r="G62" s="1" t="s">
        <v>70</v>
      </c>
      <c r="H62" s="1" t="s">
        <v>78</v>
      </c>
    </row>
    <row r="63" spans="1:10" ht="18" customHeight="1" x14ac:dyDescent="0.2">
      <c r="A63" s="40"/>
      <c r="B63" s="1">
        <v>26</v>
      </c>
      <c r="C63" s="1" t="s">
        <v>1090</v>
      </c>
      <c r="D63" s="1" t="s">
        <v>32</v>
      </c>
      <c r="E63" s="1" t="s">
        <v>46</v>
      </c>
      <c r="F63" s="1" t="s">
        <v>1087</v>
      </c>
      <c r="G63" s="1" t="s">
        <v>71</v>
      </c>
      <c r="H63" s="1" t="s">
        <v>79</v>
      </c>
    </row>
    <row r="64" spans="1:10" ht="18" customHeight="1" x14ac:dyDescent="0.2">
      <c r="A64" s="40"/>
      <c r="B64" s="1">
        <v>27</v>
      </c>
      <c r="C64" s="1" t="s">
        <v>1091</v>
      </c>
      <c r="D64" s="1" t="s">
        <v>32</v>
      </c>
      <c r="E64" s="1" t="s">
        <v>46</v>
      </c>
      <c r="F64" s="1" t="s">
        <v>1087</v>
      </c>
      <c r="G64" s="1" t="s">
        <v>1081</v>
      </c>
      <c r="H64" s="1" t="s">
        <v>1082</v>
      </c>
    </row>
    <row r="65" spans="1:8" ht="18" customHeight="1" x14ac:dyDescent="0.2">
      <c r="A65" s="40"/>
      <c r="B65" s="1">
        <v>28</v>
      </c>
      <c r="C65" s="1" t="s">
        <v>1092</v>
      </c>
      <c r="D65" s="1" t="s">
        <v>32</v>
      </c>
      <c r="E65" s="1" t="s">
        <v>46</v>
      </c>
      <c r="F65" s="1" t="s">
        <v>1087</v>
      </c>
      <c r="G65" s="1" t="s">
        <v>1084</v>
      </c>
      <c r="H65" s="1" t="s">
        <v>1085</v>
      </c>
    </row>
    <row r="66" spans="1:8" ht="18" customHeight="1" x14ac:dyDescent="0.2">
      <c r="A66" s="40"/>
      <c r="B66" s="1">
        <v>29</v>
      </c>
      <c r="C66" s="1" t="s">
        <v>1093</v>
      </c>
      <c r="D66" s="1" t="s">
        <v>32</v>
      </c>
      <c r="E66" s="1" t="s">
        <v>46</v>
      </c>
      <c r="F66" s="1" t="s">
        <v>1094</v>
      </c>
      <c r="G66" s="1" t="s">
        <v>68</v>
      </c>
      <c r="H66" s="1" t="s">
        <v>76</v>
      </c>
    </row>
    <row r="67" spans="1:8" ht="18" customHeight="1" x14ac:dyDescent="0.2">
      <c r="A67" s="40"/>
      <c r="B67" s="1">
        <v>30</v>
      </c>
      <c r="C67" s="1" t="s">
        <v>1095</v>
      </c>
      <c r="D67" s="1" t="s">
        <v>32</v>
      </c>
      <c r="E67" s="1" t="s">
        <v>46</v>
      </c>
      <c r="F67" s="1" t="s">
        <v>1094</v>
      </c>
      <c r="G67" s="1" t="s">
        <v>69</v>
      </c>
      <c r="H67" s="1" t="s">
        <v>77</v>
      </c>
    </row>
    <row r="68" spans="1:8" ht="18" customHeight="1" x14ac:dyDescent="0.2">
      <c r="A68" s="40"/>
      <c r="B68" s="1">
        <v>31</v>
      </c>
      <c r="C68" s="1" t="s">
        <v>1096</v>
      </c>
      <c r="D68" s="1" t="s">
        <v>32</v>
      </c>
      <c r="E68" s="1" t="s">
        <v>46</v>
      </c>
      <c r="F68" s="1" t="s">
        <v>1094</v>
      </c>
      <c r="G68" s="1" t="s">
        <v>70</v>
      </c>
      <c r="H68" s="1" t="s">
        <v>78</v>
      </c>
    </row>
    <row r="69" spans="1:8" ht="18" customHeight="1" x14ac:dyDescent="0.2">
      <c r="A69" s="40"/>
      <c r="B69" s="1">
        <v>32</v>
      </c>
      <c r="C69" s="1" t="s">
        <v>1097</v>
      </c>
      <c r="D69" s="1" t="s">
        <v>32</v>
      </c>
      <c r="E69" s="1" t="s">
        <v>46</v>
      </c>
      <c r="F69" s="1" t="s">
        <v>1094</v>
      </c>
      <c r="G69" s="1" t="s">
        <v>71</v>
      </c>
      <c r="H69" s="1" t="s">
        <v>79</v>
      </c>
    </row>
    <row r="70" spans="1:8" ht="18" customHeight="1" x14ac:dyDescent="0.2">
      <c r="A70" s="40"/>
      <c r="B70" s="1">
        <v>33</v>
      </c>
      <c r="C70" s="1" t="s">
        <v>1098</v>
      </c>
      <c r="D70" s="1" t="s">
        <v>32</v>
      </c>
      <c r="E70" s="1" t="s">
        <v>46</v>
      </c>
      <c r="F70" s="1" t="s">
        <v>1094</v>
      </c>
      <c r="G70" s="1" t="s">
        <v>1081</v>
      </c>
      <c r="H70" s="1" t="s">
        <v>1082</v>
      </c>
    </row>
    <row r="71" spans="1:8" ht="18" customHeight="1" x14ac:dyDescent="0.2">
      <c r="A71" s="40"/>
      <c r="B71" s="1">
        <v>34</v>
      </c>
      <c r="C71" s="1" t="s">
        <v>1099</v>
      </c>
      <c r="D71" s="1" t="s">
        <v>32</v>
      </c>
      <c r="E71" s="1" t="s">
        <v>46</v>
      </c>
      <c r="F71" s="1" t="s">
        <v>1094</v>
      </c>
      <c r="G71" s="1" t="s">
        <v>1084</v>
      </c>
      <c r="H71" s="1" t="s">
        <v>1085</v>
      </c>
    </row>
    <row r="72" spans="1:8" ht="18" customHeight="1" x14ac:dyDescent="0.2">
      <c r="A72" s="40"/>
      <c r="B72" s="1">
        <v>35</v>
      </c>
      <c r="C72" s="1" t="s">
        <v>1100</v>
      </c>
      <c r="D72" s="1" t="s">
        <v>32</v>
      </c>
      <c r="E72" s="1" t="s">
        <v>46</v>
      </c>
      <c r="F72" s="1" t="s">
        <v>1101</v>
      </c>
      <c r="G72" s="1" t="s">
        <v>68</v>
      </c>
      <c r="H72" s="1" t="s">
        <v>76</v>
      </c>
    </row>
    <row r="73" spans="1:8" ht="18" customHeight="1" x14ac:dyDescent="0.2">
      <c r="A73" s="40"/>
      <c r="B73" s="1">
        <v>36</v>
      </c>
      <c r="C73" s="1" t="s">
        <v>1102</v>
      </c>
      <c r="D73" s="1" t="s">
        <v>32</v>
      </c>
      <c r="E73" s="1" t="s">
        <v>46</v>
      </c>
      <c r="F73" s="1" t="s">
        <v>1101</v>
      </c>
      <c r="G73" s="1" t="s">
        <v>69</v>
      </c>
      <c r="H73" s="1" t="s">
        <v>77</v>
      </c>
    </row>
    <row r="74" spans="1:8" ht="18" customHeight="1" x14ac:dyDescent="0.2">
      <c r="A74" s="40"/>
      <c r="B74" s="1">
        <v>37</v>
      </c>
      <c r="C74" s="1" t="s">
        <v>1103</v>
      </c>
      <c r="D74" s="1" t="s">
        <v>32</v>
      </c>
      <c r="E74" s="1" t="s">
        <v>46</v>
      </c>
      <c r="F74" s="1" t="s">
        <v>1101</v>
      </c>
      <c r="G74" s="1" t="s">
        <v>70</v>
      </c>
      <c r="H74" s="1" t="s">
        <v>78</v>
      </c>
    </row>
    <row r="75" spans="1:8" ht="18" customHeight="1" x14ac:dyDescent="0.2">
      <c r="A75" s="40"/>
      <c r="B75" s="1">
        <v>38</v>
      </c>
      <c r="C75" s="1" t="s">
        <v>1104</v>
      </c>
      <c r="D75" s="1" t="s">
        <v>32</v>
      </c>
      <c r="E75" s="1" t="s">
        <v>46</v>
      </c>
      <c r="F75" s="1" t="s">
        <v>1101</v>
      </c>
      <c r="G75" s="1" t="s">
        <v>71</v>
      </c>
      <c r="H75" s="1" t="s">
        <v>79</v>
      </c>
    </row>
    <row r="76" spans="1:8" ht="18" customHeight="1" x14ac:dyDescent="0.2">
      <c r="A76" s="40"/>
      <c r="B76" s="1">
        <v>39</v>
      </c>
      <c r="C76" s="1" t="s">
        <v>1105</v>
      </c>
      <c r="D76" s="1" t="s">
        <v>32</v>
      </c>
      <c r="E76" s="1" t="s">
        <v>46</v>
      </c>
      <c r="F76" s="1" t="s">
        <v>1106</v>
      </c>
      <c r="G76" s="1" t="s">
        <v>68</v>
      </c>
      <c r="H76" s="1" t="s">
        <v>76</v>
      </c>
    </row>
    <row r="77" spans="1:8" ht="18" customHeight="1" x14ac:dyDescent="0.2">
      <c r="A77" s="40"/>
      <c r="B77" s="1">
        <v>40</v>
      </c>
      <c r="C77" s="1" t="s">
        <v>1107</v>
      </c>
      <c r="D77" s="1" t="s">
        <v>32</v>
      </c>
      <c r="E77" s="1" t="s">
        <v>46</v>
      </c>
      <c r="F77" s="1" t="s">
        <v>1106</v>
      </c>
      <c r="G77" s="1" t="s">
        <v>69</v>
      </c>
      <c r="H77" s="1" t="s">
        <v>77</v>
      </c>
    </row>
    <row r="78" spans="1:8" ht="18" customHeight="1" x14ac:dyDescent="0.2">
      <c r="A78" s="40"/>
      <c r="B78" s="1">
        <v>41</v>
      </c>
      <c r="C78" s="1" t="s">
        <v>1108</v>
      </c>
      <c r="D78" s="1" t="s">
        <v>1109</v>
      </c>
      <c r="E78" s="1" t="s">
        <v>46</v>
      </c>
      <c r="F78" s="1" t="s">
        <v>1106</v>
      </c>
      <c r="G78" s="1" t="s">
        <v>70</v>
      </c>
      <c r="H78" s="1" t="s">
        <v>78</v>
      </c>
    </row>
    <row r="79" spans="1:8" ht="18" customHeight="1" x14ac:dyDescent="0.2">
      <c r="A79" s="40"/>
      <c r="B79" s="1">
        <v>42</v>
      </c>
      <c r="C79" s="1" t="s">
        <v>1110</v>
      </c>
      <c r="D79" s="1" t="s">
        <v>1111</v>
      </c>
      <c r="E79" s="1" t="s">
        <v>46</v>
      </c>
      <c r="F79" s="1" t="s">
        <v>1106</v>
      </c>
      <c r="G79" s="1" t="s">
        <v>71</v>
      </c>
      <c r="H79" s="1" t="s">
        <v>79</v>
      </c>
    </row>
  </sheetData>
  <mergeCells count="7">
    <mergeCell ref="A2:A17"/>
    <mergeCell ref="A18:A33"/>
    <mergeCell ref="A34:A37"/>
    <mergeCell ref="A38:A79"/>
    <mergeCell ref="C22:C23"/>
    <mergeCell ref="C24:C25"/>
    <mergeCell ref="C26:C27"/>
  </mergeCells>
  <phoneticPr fontId="1" type="noConversion"/>
  <printOptions horizontalCentered="1"/>
  <pageMargins left="0.51181102362204722" right="0.51181102362204722" top="0.55118110236220474" bottom="0.55118110236220474" header="0.31496062992125984" footer="0.31496062992125984"/>
  <pageSetup paperSize="9" orientation="portrait" r:id="rId1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673C-D264-48A6-9347-09AE23407840}">
  <dimension ref="A1:G107"/>
  <sheetViews>
    <sheetView topLeftCell="A33" zoomScale="115" zoomScaleNormal="115" workbookViewId="0">
      <selection activeCell="C35" sqref="C35:C49"/>
    </sheetView>
  </sheetViews>
  <sheetFormatPr defaultRowHeight="20.100000000000001" customHeight="1" x14ac:dyDescent="0.2"/>
  <cols>
    <col min="1" max="1" width="9.75" style="8" bestFit="1" customWidth="1"/>
    <col min="2" max="2" width="4.5" style="8" bestFit="1" customWidth="1"/>
    <col min="3" max="3" width="4.875" style="7" customWidth="1"/>
    <col min="4" max="4" width="15.875" style="7" bestFit="1" customWidth="1"/>
    <col min="5" max="6" width="7.5" style="7" bestFit="1" customWidth="1"/>
    <col min="7" max="9" width="9" style="7"/>
    <col min="10" max="10" width="14.75" style="7" bestFit="1" customWidth="1"/>
    <col min="11" max="16384" width="9" style="7"/>
  </cols>
  <sheetData>
    <row r="1" spans="1:7" ht="20.100000000000001" customHeight="1" x14ac:dyDescent="0.2">
      <c r="A1" s="43" t="s">
        <v>773</v>
      </c>
      <c r="B1" s="43"/>
      <c r="C1" s="43"/>
      <c r="D1" s="43"/>
      <c r="E1" s="43"/>
      <c r="F1" s="43"/>
    </row>
    <row r="2" spans="1:7" s="10" customFormat="1" ht="21" x14ac:dyDescent="0.2">
      <c r="A2" s="5" t="s">
        <v>0</v>
      </c>
      <c r="B2" s="5" t="s">
        <v>1</v>
      </c>
      <c r="C2" s="9" t="s">
        <v>48</v>
      </c>
      <c r="D2" s="9" t="s">
        <v>18</v>
      </c>
      <c r="E2" s="5" t="s">
        <v>330</v>
      </c>
      <c r="F2" s="9" t="s">
        <v>331</v>
      </c>
    </row>
    <row r="3" spans="1:7" ht="20.100000000000001" customHeight="1" x14ac:dyDescent="0.2">
      <c r="A3" s="44" t="s">
        <v>154</v>
      </c>
      <c r="B3" s="2">
        <v>0</v>
      </c>
      <c r="C3" s="1" t="s">
        <v>584</v>
      </c>
      <c r="D3" s="1" t="s">
        <v>1067</v>
      </c>
      <c r="E3" s="1"/>
      <c r="F3" s="1"/>
      <c r="G3" s="8"/>
    </row>
    <row r="4" spans="1:7" ht="20.100000000000001" customHeight="1" x14ac:dyDescent="0.2">
      <c r="A4" s="44"/>
      <c r="B4" s="2">
        <v>1</v>
      </c>
      <c r="C4" s="1" t="s">
        <v>585</v>
      </c>
      <c r="D4" s="1" t="s">
        <v>1068</v>
      </c>
      <c r="E4" s="1"/>
      <c r="F4" s="1"/>
      <c r="G4" s="8"/>
    </row>
    <row r="5" spans="1:7" ht="20.100000000000001" customHeight="1" x14ac:dyDescent="0.2">
      <c r="A5" s="44"/>
      <c r="B5" s="2">
        <v>2</v>
      </c>
      <c r="C5" s="1" t="s">
        <v>586</v>
      </c>
      <c r="D5" s="1" t="s">
        <v>1069</v>
      </c>
      <c r="E5" s="1"/>
      <c r="F5" s="1"/>
      <c r="G5" s="8"/>
    </row>
    <row r="6" spans="1:7" ht="20.100000000000001" customHeight="1" x14ac:dyDescent="0.2">
      <c r="A6" s="44"/>
      <c r="B6" s="2">
        <v>3</v>
      </c>
      <c r="C6" s="1" t="s">
        <v>587</v>
      </c>
      <c r="D6" s="1" t="s">
        <v>1070</v>
      </c>
      <c r="E6" s="1"/>
      <c r="F6" s="1"/>
      <c r="G6" s="8"/>
    </row>
    <row r="7" spans="1:7" ht="20.100000000000001" customHeight="1" x14ac:dyDescent="0.2">
      <c r="A7" s="44"/>
      <c r="B7" s="2">
        <v>4</v>
      </c>
      <c r="C7" s="1" t="s">
        <v>588</v>
      </c>
      <c r="D7" s="1" t="s">
        <v>155</v>
      </c>
      <c r="E7" s="1"/>
      <c r="F7" s="1"/>
      <c r="G7" s="8"/>
    </row>
    <row r="8" spans="1:7" ht="20.100000000000001" customHeight="1" x14ac:dyDescent="0.2">
      <c r="A8" s="44"/>
      <c r="B8" s="2">
        <v>5</v>
      </c>
      <c r="C8" s="1" t="s">
        <v>589</v>
      </c>
      <c r="D8" s="1" t="s">
        <v>163</v>
      </c>
      <c r="E8" s="1"/>
      <c r="F8" s="1"/>
    </row>
    <row r="9" spans="1:7" ht="20.100000000000001" customHeight="1" x14ac:dyDescent="0.2">
      <c r="A9" s="44"/>
      <c r="B9" s="2">
        <v>6</v>
      </c>
      <c r="C9" s="1" t="s">
        <v>590</v>
      </c>
      <c r="D9" s="1" t="s">
        <v>165</v>
      </c>
      <c r="E9" s="1"/>
      <c r="F9" s="1"/>
    </row>
    <row r="10" spans="1:7" ht="20.100000000000001" customHeight="1" x14ac:dyDescent="0.2">
      <c r="A10" s="44"/>
      <c r="B10" s="2">
        <v>7</v>
      </c>
      <c r="C10" s="1" t="s">
        <v>591</v>
      </c>
      <c r="D10" s="1" t="s">
        <v>164</v>
      </c>
      <c r="E10" s="1"/>
      <c r="F10" s="1"/>
    </row>
    <row r="11" spans="1:7" ht="20.100000000000001" customHeight="1" x14ac:dyDescent="0.2">
      <c r="A11" s="44"/>
      <c r="B11" s="2">
        <v>8</v>
      </c>
      <c r="C11" s="1" t="s">
        <v>592</v>
      </c>
      <c r="D11" s="1" t="s">
        <v>582</v>
      </c>
      <c r="E11" s="1"/>
      <c r="F11" s="1"/>
    </row>
    <row r="12" spans="1:7" ht="20.100000000000001" customHeight="1" x14ac:dyDescent="0.2">
      <c r="A12" s="44"/>
      <c r="B12" s="2">
        <v>9</v>
      </c>
      <c r="C12" s="1" t="s">
        <v>593</v>
      </c>
      <c r="D12" s="1" t="s">
        <v>583</v>
      </c>
      <c r="E12" s="1"/>
      <c r="F12" s="1"/>
    </row>
    <row r="13" spans="1:7" ht="20.100000000000001" customHeight="1" x14ac:dyDescent="0.2">
      <c r="A13" s="44"/>
      <c r="B13" s="2">
        <v>10</v>
      </c>
      <c r="C13" s="1" t="s">
        <v>594</v>
      </c>
      <c r="D13" s="1" t="s">
        <v>166</v>
      </c>
      <c r="E13" s="1"/>
      <c r="F13" s="1"/>
    </row>
    <row r="14" spans="1:7" ht="20.100000000000001" customHeight="1" x14ac:dyDescent="0.2">
      <c r="A14" s="44"/>
      <c r="B14" s="2">
        <v>11</v>
      </c>
      <c r="C14" s="1" t="s">
        <v>595</v>
      </c>
      <c r="D14" s="1" t="s">
        <v>162</v>
      </c>
      <c r="E14" s="1"/>
      <c r="F14" s="1"/>
      <c r="G14" s="8"/>
    </row>
    <row r="15" spans="1:7" ht="20.100000000000001" customHeight="1" x14ac:dyDescent="0.2">
      <c r="A15" s="44"/>
      <c r="B15" s="2">
        <v>12</v>
      </c>
      <c r="C15" s="1" t="s">
        <v>596</v>
      </c>
      <c r="D15" s="1" t="s">
        <v>156</v>
      </c>
      <c r="E15" s="1"/>
      <c r="F15" s="1"/>
      <c r="G15" s="8"/>
    </row>
    <row r="16" spans="1:7" ht="20.100000000000001" customHeight="1" x14ac:dyDescent="0.2">
      <c r="A16" s="44"/>
      <c r="B16" s="2">
        <v>13</v>
      </c>
      <c r="C16" s="1" t="s">
        <v>597</v>
      </c>
      <c r="D16" s="1" t="s">
        <v>157</v>
      </c>
      <c r="E16" s="1"/>
      <c r="F16" s="1"/>
      <c r="G16" s="8"/>
    </row>
    <row r="17" spans="1:7" ht="20.100000000000001" customHeight="1" x14ac:dyDescent="0.2">
      <c r="A17" s="44"/>
      <c r="B17" s="2">
        <v>14</v>
      </c>
      <c r="C17" s="1" t="s">
        <v>598</v>
      </c>
      <c r="D17" s="1" t="s">
        <v>158</v>
      </c>
      <c r="E17" s="1"/>
      <c r="F17" s="1"/>
      <c r="G17" s="8"/>
    </row>
    <row r="18" spans="1:7" ht="20.100000000000001" customHeight="1" x14ac:dyDescent="0.2">
      <c r="A18" s="44"/>
      <c r="B18" s="2">
        <v>15</v>
      </c>
      <c r="C18" s="1" t="s">
        <v>599</v>
      </c>
      <c r="D18" s="1" t="s">
        <v>159</v>
      </c>
      <c r="E18" s="1"/>
      <c r="F18" s="1"/>
      <c r="G18" s="8"/>
    </row>
    <row r="19" spans="1:7" ht="20.100000000000001" customHeight="1" x14ac:dyDescent="0.2">
      <c r="A19" s="44"/>
      <c r="B19" s="2">
        <v>16</v>
      </c>
      <c r="C19" s="1" t="s">
        <v>600</v>
      </c>
      <c r="D19" s="1" t="s">
        <v>160</v>
      </c>
      <c r="E19" s="1"/>
      <c r="F19" s="1"/>
      <c r="G19" s="8"/>
    </row>
    <row r="20" spans="1:7" ht="20.100000000000001" customHeight="1" x14ac:dyDescent="0.2">
      <c r="A20" s="44"/>
      <c r="B20" s="2">
        <v>17</v>
      </c>
      <c r="C20" s="1" t="s">
        <v>601</v>
      </c>
      <c r="D20" s="1" t="s">
        <v>161</v>
      </c>
      <c r="E20" s="1"/>
      <c r="F20" s="1"/>
      <c r="G20" s="8"/>
    </row>
    <row r="21" spans="1:7" ht="20.100000000000001" customHeight="1" x14ac:dyDescent="0.2">
      <c r="A21" s="44"/>
      <c r="B21" s="2">
        <v>18</v>
      </c>
      <c r="C21" s="1" t="s">
        <v>602</v>
      </c>
      <c r="D21" s="1" t="s">
        <v>502</v>
      </c>
      <c r="E21" s="1"/>
      <c r="F21" s="1"/>
    </row>
    <row r="22" spans="1:7" ht="20.100000000000001" customHeight="1" x14ac:dyDescent="0.2">
      <c r="A22" s="44"/>
      <c r="B22" s="2">
        <v>19</v>
      </c>
      <c r="C22" s="1" t="s">
        <v>603</v>
      </c>
      <c r="D22" s="1" t="s">
        <v>503</v>
      </c>
      <c r="E22" s="1"/>
      <c r="F22" s="1"/>
    </row>
    <row r="23" spans="1:7" ht="20.100000000000001" customHeight="1" x14ac:dyDescent="0.2">
      <c r="A23" s="44"/>
      <c r="B23" s="2">
        <v>20</v>
      </c>
      <c r="C23" s="1" t="s">
        <v>604</v>
      </c>
      <c r="D23" s="1" t="s">
        <v>504</v>
      </c>
      <c r="E23" s="1"/>
      <c r="F23" s="1"/>
      <c r="G23" s="8"/>
    </row>
    <row r="24" spans="1:7" ht="20.100000000000001" customHeight="1" x14ac:dyDescent="0.2">
      <c r="A24" s="44"/>
      <c r="B24" s="2">
        <v>21</v>
      </c>
      <c r="C24" s="1" t="s">
        <v>605</v>
      </c>
      <c r="E24" s="1"/>
      <c r="F24" s="1"/>
      <c r="G24" s="8"/>
    </row>
    <row r="25" spans="1:7" ht="20.100000000000001" customHeight="1" x14ac:dyDescent="0.2">
      <c r="A25" s="44"/>
      <c r="B25" s="2">
        <v>22</v>
      </c>
      <c r="C25" s="1" t="s">
        <v>606</v>
      </c>
      <c r="E25" s="1"/>
      <c r="F25" s="1"/>
      <c r="G25" s="8"/>
    </row>
    <row r="26" spans="1:7" ht="20.100000000000001" customHeight="1" x14ac:dyDescent="0.2">
      <c r="A26" s="44"/>
      <c r="B26" s="2">
        <v>23</v>
      </c>
      <c r="C26" s="1" t="s">
        <v>607</v>
      </c>
      <c r="E26" s="1"/>
      <c r="F26" s="1"/>
      <c r="G26" s="8"/>
    </row>
    <row r="27" spans="1:7" ht="20.100000000000001" customHeight="1" x14ac:dyDescent="0.2">
      <c r="A27" s="44"/>
      <c r="B27" s="2">
        <v>24</v>
      </c>
      <c r="C27" s="1" t="s">
        <v>608</v>
      </c>
      <c r="D27" s="1"/>
      <c r="E27" s="1"/>
      <c r="F27" s="1"/>
      <c r="G27" s="8"/>
    </row>
    <row r="28" spans="1:7" ht="20.100000000000001" customHeight="1" x14ac:dyDescent="0.2">
      <c r="A28" s="44"/>
      <c r="B28" s="2">
        <v>25</v>
      </c>
      <c r="C28" s="1" t="s">
        <v>609</v>
      </c>
      <c r="E28" s="1"/>
      <c r="F28" s="1"/>
      <c r="G28" s="8"/>
    </row>
    <row r="29" spans="1:7" ht="20.100000000000001" customHeight="1" x14ac:dyDescent="0.2">
      <c r="A29" s="44"/>
      <c r="B29" s="2">
        <v>26</v>
      </c>
      <c r="C29" s="1" t="s">
        <v>610</v>
      </c>
      <c r="E29" s="1"/>
      <c r="F29" s="1"/>
      <c r="G29" s="8"/>
    </row>
    <row r="30" spans="1:7" ht="20.100000000000001" customHeight="1" x14ac:dyDescent="0.2">
      <c r="A30" s="44"/>
      <c r="B30" s="2">
        <v>27</v>
      </c>
      <c r="C30" s="1" t="s">
        <v>611</v>
      </c>
      <c r="D30" s="1"/>
      <c r="E30" s="1"/>
      <c r="F30" s="1"/>
      <c r="G30" s="8"/>
    </row>
    <row r="31" spans="1:7" ht="20.100000000000001" customHeight="1" x14ac:dyDescent="0.2">
      <c r="A31" s="44"/>
      <c r="B31" s="2">
        <v>28</v>
      </c>
      <c r="C31" s="1" t="s">
        <v>612</v>
      </c>
      <c r="D31" s="1"/>
      <c r="E31" s="1"/>
      <c r="F31" s="1"/>
      <c r="G31" s="8"/>
    </row>
    <row r="32" spans="1:7" ht="20.100000000000001" customHeight="1" x14ac:dyDescent="0.2">
      <c r="A32" s="44"/>
      <c r="B32" s="2">
        <v>29</v>
      </c>
      <c r="C32" s="1" t="s">
        <v>613</v>
      </c>
      <c r="E32" s="1"/>
      <c r="F32" s="1"/>
      <c r="G32" s="8"/>
    </row>
    <row r="33" spans="1:7" ht="20.100000000000001" customHeight="1" x14ac:dyDescent="0.2">
      <c r="A33" s="44"/>
      <c r="B33" s="2">
        <v>30</v>
      </c>
      <c r="C33" s="1" t="s">
        <v>614</v>
      </c>
      <c r="D33" s="1" t="s">
        <v>336</v>
      </c>
      <c r="E33" s="1"/>
      <c r="F33" s="1"/>
      <c r="G33" s="8"/>
    </row>
    <row r="34" spans="1:7" ht="20.100000000000001" customHeight="1" x14ac:dyDescent="0.2">
      <c r="A34" s="44"/>
      <c r="B34" s="2">
        <v>31</v>
      </c>
      <c r="C34" s="1" t="s">
        <v>615</v>
      </c>
      <c r="D34" s="1" t="s">
        <v>361</v>
      </c>
      <c r="E34" s="1"/>
      <c r="F34" s="1"/>
      <c r="G34" s="8"/>
    </row>
    <row r="35" spans="1:7" ht="20.100000000000001" customHeight="1" x14ac:dyDescent="0.2">
      <c r="A35" s="45" t="s">
        <v>635</v>
      </c>
      <c r="B35" s="2">
        <v>0</v>
      </c>
      <c r="C35" s="1" t="s">
        <v>620</v>
      </c>
      <c r="D35" s="1" t="s">
        <v>616</v>
      </c>
      <c r="E35" s="1"/>
      <c r="F35" s="1"/>
      <c r="G35" s="8"/>
    </row>
    <row r="36" spans="1:7" ht="20.100000000000001" customHeight="1" x14ac:dyDescent="0.2">
      <c r="A36" s="46"/>
      <c r="B36" s="2">
        <v>1</v>
      </c>
      <c r="C36" s="1" t="s">
        <v>621</v>
      </c>
      <c r="D36" s="1" t="s">
        <v>617</v>
      </c>
      <c r="E36" s="1"/>
      <c r="F36" s="1"/>
      <c r="G36" s="8"/>
    </row>
    <row r="37" spans="1:7" ht="20.100000000000001" customHeight="1" x14ac:dyDescent="0.2">
      <c r="A37" s="46"/>
      <c r="B37" s="2">
        <v>2</v>
      </c>
      <c r="C37" s="1" t="s">
        <v>622</v>
      </c>
      <c r="D37" s="1" t="s">
        <v>618</v>
      </c>
      <c r="E37" s="1"/>
      <c r="F37" s="1"/>
      <c r="G37" s="8"/>
    </row>
    <row r="38" spans="1:7" ht="20.100000000000001" customHeight="1" x14ac:dyDescent="0.2">
      <c r="A38" s="46"/>
      <c r="B38" s="2">
        <v>3</v>
      </c>
      <c r="C38" s="1" t="s">
        <v>623</v>
      </c>
      <c r="D38" s="1" t="s">
        <v>619</v>
      </c>
      <c r="E38" s="1"/>
      <c r="F38" s="1"/>
      <c r="G38" s="8"/>
    </row>
    <row r="39" spans="1:7" ht="20.100000000000001" customHeight="1" x14ac:dyDescent="0.2">
      <c r="A39" s="46"/>
      <c r="B39" s="2">
        <v>4</v>
      </c>
      <c r="C39" s="1" t="s">
        <v>624</v>
      </c>
      <c r="D39" s="1" t="s">
        <v>732</v>
      </c>
      <c r="E39" s="1"/>
      <c r="F39" s="1"/>
      <c r="G39" s="8"/>
    </row>
    <row r="40" spans="1:7" ht="20.100000000000001" customHeight="1" x14ac:dyDescent="0.2">
      <c r="A40" s="46"/>
      <c r="B40" s="2">
        <v>5</v>
      </c>
      <c r="C40" s="1" t="s">
        <v>625</v>
      </c>
      <c r="D40" s="1" t="s">
        <v>737</v>
      </c>
      <c r="E40" s="1"/>
      <c r="F40" s="1"/>
      <c r="G40" s="8"/>
    </row>
    <row r="41" spans="1:7" ht="20.100000000000001" customHeight="1" x14ac:dyDescent="0.2">
      <c r="A41" s="46"/>
      <c r="B41" s="2">
        <v>6</v>
      </c>
      <c r="C41" s="1" t="s">
        <v>626</v>
      </c>
      <c r="D41" s="1" t="s">
        <v>738</v>
      </c>
      <c r="E41" s="1"/>
      <c r="F41" s="1"/>
      <c r="G41" s="8"/>
    </row>
    <row r="42" spans="1:7" ht="20.100000000000001" customHeight="1" x14ac:dyDescent="0.2">
      <c r="A42" s="46"/>
      <c r="B42" s="2">
        <v>7</v>
      </c>
      <c r="C42" s="1" t="s">
        <v>627</v>
      </c>
      <c r="D42" s="2" t="s">
        <v>739</v>
      </c>
      <c r="E42" s="1"/>
      <c r="F42" s="1"/>
      <c r="G42" s="8"/>
    </row>
    <row r="43" spans="1:7" ht="20.100000000000001" customHeight="1" x14ac:dyDescent="0.2">
      <c r="A43" s="46"/>
      <c r="B43" s="2">
        <v>8</v>
      </c>
      <c r="C43" s="1" t="s">
        <v>628</v>
      </c>
      <c r="D43" s="2" t="s">
        <v>740</v>
      </c>
      <c r="E43" s="1"/>
      <c r="F43" s="1"/>
      <c r="G43" s="8"/>
    </row>
    <row r="44" spans="1:7" ht="20.100000000000001" customHeight="1" x14ac:dyDescent="0.2">
      <c r="A44" s="46"/>
      <c r="B44" s="2">
        <v>9</v>
      </c>
      <c r="C44" s="1" t="s">
        <v>629</v>
      </c>
      <c r="D44" s="2" t="s">
        <v>741</v>
      </c>
      <c r="E44" s="1"/>
      <c r="F44" s="1"/>
      <c r="G44" s="8"/>
    </row>
    <row r="45" spans="1:7" ht="20.100000000000001" customHeight="1" x14ac:dyDescent="0.2">
      <c r="A45" s="46"/>
      <c r="B45" s="2">
        <v>10</v>
      </c>
      <c r="C45" s="1" t="s">
        <v>630</v>
      </c>
      <c r="D45" s="2" t="s">
        <v>742</v>
      </c>
      <c r="E45" s="1"/>
      <c r="F45" s="1"/>
      <c r="G45" s="8"/>
    </row>
    <row r="46" spans="1:7" ht="20.100000000000001" customHeight="1" x14ac:dyDescent="0.2">
      <c r="A46" s="46"/>
      <c r="B46" s="2">
        <v>11</v>
      </c>
      <c r="C46" s="1" t="s">
        <v>631</v>
      </c>
      <c r="D46" s="2" t="s">
        <v>733</v>
      </c>
      <c r="E46" s="1"/>
      <c r="F46" s="1"/>
      <c r="G46" s="8"/>
    </row>
    <row r="47" spans="1:7" ht="20.100000000000001" customHeight="1" x14ac:dyDescent="0.2">
      <c r="A47" s="46"/>
      <c r="B47" s="2">
        <v>12</v>
      </c>
      <c r="C47" s="1" t="s">
        <v>632</v>
      </c>
      <c r="D47" s="2" t="s">
        <v>734</v>
      </c>
      <c r="E47" s="1"/>
      <c r="F47" s="1"/>
      <c r="G47" s="8"/>
    </row>
    <row r="48" spans="1:7" ht="20.100000000000001" customHeight="1" x14ac:dyDescent="0.2">
      <c r="A48" s="46"/>
      <c r="B48" s="2">
        <v>13</v>
      </c>
      <c r="C48" s="1" t="s">
        <v>633</v>
      </c>
      <c r="D48" s="2" t="s">
        <v>735</v>
      </c>
      <c r="E48" s="1"/>
      <c r="F48" s="1"/>
      <c r="G48" s="8"/>
    </row>
    <row r="49" spans="1:7" ht="20.100000000000001" customHeight="1" x14ac:dyDescent="0.2">
      <c r="A49" s="47"/>
      <c r="B49" s="2">
        <v>14</v>
      </c>
      <c r="C49" s="1" t="s">
        <v>634</v>
      </c>
      <c r="D49" s="2" t="s">
        <v>736</v>
      </c>
      <c r="E49" s="1"/>
      <c r="F49" s="1"/>
      <c r="G49" s="8"/>
    </row>
    <row r="50" spans="1:7" ht="20.100000000000001" customHeight="1" x14ac:dyDescent="0.2">
      <c r="A50" s="44" t="s">
        <v>873</v>
      </c>
      <c r="B50" s="2">
        <v>0</v>
      </c>
      <c r="C50" s="1" t="s">
        <v>118</v>
      </c>
      <c r="D50" s="1" t="s">
        <v>882</v>
      </c>
      <c r="E50" s="1" t="s">
        <v>332</v>
      </c>
      <c r="F50" s="1" t="s">
        <v>332</v>
      </c>
    </row>
    <row r="51" spans="1:7" ht="20.100000000000001" customHeight="1" x14ac:dyDescent="0.2">
      <c r="A51" s="44"/>
      <c r="B51" s="2">
        <v>1</v>
      </c>
      <c r="C51" s="1" t="s">
        <v>119</v>
      </c>
      <c r="D51" s="1" t="s">
        <v>883</v>
      </c>
      <c r="E51" s="1" t="s">
        <v>332</v>
      </c>
      <c r="F51" s="1" t="s">
        <v>332</v>
      </c>
    </row>
    <row r="52" spans="1:7" ht="20.100000000000001" customHeight="1" x14ac:dyDescent="0.2">
      <c r="A52" s="44"/>
      <c r="B52" s="2">
        <v>2</v>
      </c>
      <c r="C52" s="1" t="s">
        <v>120</v>
      </c>
      <c r="D52" s="1" t="s">
        <v>884</v>
      </c>
      <c r="E52" s="1" t="s">
        <v>332</v>
      </c>
      <c r="F52" s="1" t="s">
        <v>332</v>
      </c>
    </row>
    <row r="53" spans="1:7" ht="20.100000000000001" customHeight="1" x14ac:dyDescent="0.2">
      <c r="A53" s="44"/>
      <c r="B53" s="2">
        <v>3</v>
      </c>
      <c r="C53" s="1" t="s">
        <v>121</v>
      </c>
      <c r="D53" s="1" t="s">
        <v>885</v>
      </c>
      <c r="E53" s="1" t="s">
        <v>332</v>
      </c>
      <c r="F53" s="1" t="s">
        <v>332</v>
      </c>
    </row>
    <row r="54" spans="1:7" ht="20.100000000000001" customHeight="1" x14ac:dyDescent="0.2">
      <c r="A54" s="44"/>
      <c r="B54" s="2">
        <v>4</v>
      </c>
      <c r="C54" s="1" t="s">
        <v>122</v>
      </c>
      <c r="D54" s="1" t="s">
        <v>886</v>
      </c>
      <c r="E54" s="1" t="s">
        <v>332</v>
      </c>
      <c r="F54" s="1" t="s">
        <v>332</v>
      </c>
    </row>
    <row r="55" spans="1:7" ht="20.100000000000001" customHeight="1" x14ac:dyDescent="0.2">
      <c r="A55" s="44"/>
      <c r="B55" s="2">
        <v>5</v>
      </c>
      <c r="C55" s="1" t="s">
        <v>123</v>
      </c>
      <c r="D55" s="1" t="s">
        <v>887</v>
      </c>
      <c r="E55" s="1" t="s">
        <v>332</v>
      </c>
      <c r="F55" s="1" t="s">
        <v>332</v>
      </c>
    </row>
    <row r="56" spans="1:7" ht="20.100000000000001" customHeight="1" x14ac:dyDescent="0.2">
      <c r="A56" s="44"/>
      <c r="B56" s="2">
        <v>6</v>
      </c>
      <c r="C56" s="1" t="s">
        <v>124</v>
      </c>
      <c r="D56" s="1" t="s">
        <v>888</v>
      </c>
      <c r="E56" s="1" t="s">
        <v>332</v>
      </c>
      <c r="F56" s="1" t="s">
        <v>332</v>
      </c>
    </row>
    <row r="57" spans="1:7" ht="20.100000000000001" customHeight="1" x14ac:dyDescent="0.2">
      <c r="A57" s="44"/>
      <c r="B57" s="2">
        <v>7</v>
      </c>
      <c r="C57" s="1" t="s">
        <v>125</v>
      </c>
      <c r="D57" s="1" t="s">
        <v>889</v>
      </c>
      <c r="E57" s="1" t="s">
        <v>332</v>
      </c>
      <c r="F57" s="1" t="s">
        <v>332</v>
      </c>
    </row>
    <row r="58" spans="1:7" ht="20.100000000000001" customHeight="1" x14ac:dyDescent="0.2">
      <c r="A58" s="44"/>
      <c r="B58" s="2">
        <v>8</v>
      </c>
      <c r="C58" s="1" t="s">
        <v>126</v>
      </c>
      <c r="D58" s="1" t="s">
        <v>890</v>
      </c>
      <c r="E58" s="1" t="s">
        <v>332</v>
      </c>
      <c r="F58" s="1" t="s">
        <v>332</v>
      </c>
    </row>
    <row r="59" spans="1:7" ht="20.100000000000001" customHeight="1" x14ac:dyDescent="0.2">
      <c r="A59" s="44"/>
      <c r="B59" s="2">
        <v>9</v>
      </c>
      <c r="C59" s="1" t="s">
        <v>127</v>
      </c>
      <c r="D59" s="1" t="s">
        <v>891</v>
      </c>
      <c r="E59" s="1" t="s">
        <v>332</v>
      </c>
      <c r="F59" s="1" t="s">
        <v>332</v>
      </c>
    </row>
    <row r="60" spans="1:7" ht="20.100000000000001" customHeight="1" x14ac:dyDescent="0.2">
      <c r="A60" s="44"/>
      <c r="B60" s="2">
        <v>10</v>
      </c>
      <c r="C60" s="1" t="s">
        <v>128</v>
      </c>
      <c r="D60" s="1" t="s">
        <v>874</v>
      </c>
      <c r="E60" s="1" t="s">
        <v>332</v>
      </c>
      <c r="F60" s="1" t="s">
        <v>332</v>
      </c>
    </row>
    <row r="61" spans="1:7" ht="20.100000000000001" customHeight="1" x14ac:dyDescent="0.2">
      <c r="A61" s="44"/>
      <c r="B61" s="2">
        <v>11</v>
      </c>
      <c r="C61" s="1" t="s">
        <v>129</v>
      </c>
      <c r="D61" s="1" t="s">
        <v>875</v>
      </c>
      <c r="E61" s="1" t="s">
        <v>332</v>
      </c>
      <c r="F61" s="1" t="s">
        <v>332</v>
      </c>
    </row>
    <row r="62" spans="1:7" ht="20.100000000000001" customHeight="1" x14ac:dyDescent="0.2">
      <c r="A62" s="44"/>
      <c r="B62" s="2">
        <v>12</v>
      </c>
      <c r="C62" s="1" t="s">
        <v>130</v>
      </c>
      <c r="D62" s="1" t="s">
        <v>876</v>
      </c>
      <c r="E62" s="1" t="s">
        <v>332</v>
      </c>
      <c r="F62" s="1" t="s">
        <v>332</v>
      </c>
    </row>
    <row r="63" spans="1:7" ht="20.100000000000001" customHeight="1" x14ac:dyDescent="0.2">
      <c r="A63" s="44"/>
      <c r="B63" s="2">
        <v>13</v>
      </c>
      <c r="C63" s="1" t="s">
        <v>131</v>
      </c>
      <c r="D63" s="1" t="s">
        <v>877</v>
      </c>
      <c r="E63" s="1" t="s">
        <v>332</v>
      </c>
      <c r="F63" s="1" t="s">
        <v>332</v>
      </c>
    </row>
    <row r="64" spans="1:7" ht="20.100000000000001" customHeight="1" x14ac:dyDescent="0.2">
      <c r="A64" s="44"/>
      <c r="B64" s="2">
        <v>14</v>
      </c>
      <c r="C64" s="1" t="s">
        <v>132</v>
      </c>
      <c r="D64" s="1" t="s">
        <v>878</v>
      </c>
      <c r="E64" s="1" t="s">
        <v>332</v>
      </c>
      <c r="F64" s="1" t="s">
        <v>332</v>
      </c>
    </row>
    <row r="65" spans="1:6" ht="20.100000000000001" customHeight="1" x14ac:dyDescent="0.2">
      <c r="A65" s="44"/>
      <c r="B65" s="2">
        <v>15</v>
      </c>
      <c r="C65" s="1" t="s">
        <v>133</v>
      </c>
      <c r="D65" s="1" t="s">
        <v>879</v>
      </c>
      <c r="E65" s="1" t="s">
        <v>332</v>
      </c>
      <c r="F65" s="1" t="s">
        <v>332</v>
      </c>
    </row>
    <row r="66" spans="1:6" ht="20.100000000000001" customHeight="1" x14ac:dyDescent="0.2">
      <c r="A66" s="44"/>
      <c r="B66" s="2">
        <v>16</v>
      </c>
      <c r="C66" s="1" t="s">
        <v>134</v>
      </c>
      <c r="D66" s="1" t="s">
        <v>880</v>
      </c>
      <c r="E66" s="1" t="s">
        <v>332</v>
      </c>
      <c r="F66" s="1" t="s">
        <v>332</v>
      </c>
    </row>
    <row r="67" spans="1:6" ht="20.100000000000001" customHeight="1" x14ac:dyDescent="0.2">
      <c r="A67" s="44"/>
      <c r="B67" s="2">
        <v>17</v>
      </c>
      <c r="C67" s="1" t="s">
        <v>135</v>
      </c>
      <c r="D67" s="1" t="s">
        <v>881</v>
      </c>
      <c r="E67" s="1" t="s">
        <v>332</v>
      </c>
      <c r="F67" s="1" t="s">
        <v>332</v>
      </c>
    </row>
    <row r="68" spans="1:6" ht="20.100000000000001" customHeight="1" x14ac:dyDescent="0.2">
      <c r="A68" s="45" t="s">
        <v>1027</v>
      </c>
      <c r="B68" s="2">
        <v>0</v>
      </c>
      <c r="C68" s="1" t="s">
        <v>1028</v>
      </c>
      <c r="D68" s="1" t="s">
        <v>1029</v>
      </c>
      <c r="E68" s="1"/>
      <c r="F68" s="1"/>
    </row>
    <row r="69" spans="1:6" ht="20.100000000000001" customHeight="1" x14ac:dyDescent="0.2">
      <c r="A69" s="46"/>
      <c r="B69" s="2">
        <v>1</v>
      </c>
      <c r="C69" s="1" t="s">
        <v>531</v>
      </c>
      <c r="D69" s="1" t="s">
        <v>1030</v>
      </c>
      <c r="E69" s="1"/>
      <c r="F69" s="1"/>
    </row>
    <row r="70" spans="1:6" ht="20.100000000000001" customHeight="1" x14ac:dyDescent="0.2">
      <c r="A70" s="46"/>
      <c r="B70" s="2">
        <v>2</v>
      </c>
      <c r="C70" s="1" t="s">
        <v>532</v>
      </c>
      <c r="D70" s="1" t="s">
        <v>1031</v>
      </c>
      <c r="E70" s="1"/>
      <c r="F70" s="1"/>
    </row>
    <row r="71" spans="1:6" ht="20.100000000000001" customHeight="1" x14ac:dyDescent="0.2">
      <c r="A71" s="46"/>
      <c r="B71" s="2">
        <v>3</v>
      </c>
      <c r="C71" s="1" t="s">
        <v>533</v>
      </c>
      <c r="D71" s="1" t="s">
        <v>1032</v>
      </c>
      <c r="E71" s="1"/>
      <c r="F71" s="1"/>
    </row>
    <row r="72" spans="1:6" ht="20.100000000000001" customHeight="1" x14ac:dyDescent="0.2">
      <c r="A72" s="46"/>
      <c r="B72" s="2">
        <v>4</v>
      </c>
      <c r="C72" s="1" t="s">
        <v>534</v>
      </c>
      <c r="D72" s="1" t="s">
        <v>1033</v>
      </c>
      <c r="E72" s="1"/>
      <c r="F72" s="1"/>
    </row>
    <row r="73" spans="1:6" ht="20.100000000000001" customHeight="1" x14ac:dyDescent="0.2">
      <c r="A73" s="46"/>
      <c r="B73" s="2">
        <v>5</v>
      </c>
      <c r="C73" s="1" t="s">
        <v>535</v>
      </c>
      <c r="D73" s="1" t="s">
        <v>1034</v>
      </c>
      <c r="E73" s="1"/>
      <c r="F73" s="1"/>
    </row>
    <row r="74" spans="1:6" ht="20.100000000000001" customHeight="1" x14ac:dyDescent="0.2">
      <c r="A74" s="46"/>
      <c r="B74" s="2">
        <v>6</v>
      </c>
      <c r="C74" s="1" t="s">
        <v>536</v>
      </c>
      <c r="D74" s="1" t="s">
        <v>1035</v>
      </c>
      <c r="E74" s="1"/>
      <c r="F74" s="1"/>
    </row>
    <row r="75" spans="1:6" ht="20.100000000000001" customHeight="1" x14ac:dyDescent="0.2">
      <c r="A75" s="46"/>
      <c r="B75" s="2">
        <v>7</v>
      </c>
      <c r="C75" s="1" t="s">
        <v>537</v>
      </c>
      <c r="D75" s="1" t="s">
        <v>1036</v>
      </c>
      <c r="E75" s="1"/>
      <c r="F75" s="1"/>
    </row>
    <row r="76" spans="1:6" ht="20.100000000000001" customHeight="1" x14ac:dyDescent="0.2">
      <c r="A76" s="46"/>
      <c r="B76" s="2">
        <v>8</v>
      </c>
      <c r="C76" s="1" t="s">
        <v>538</v>
      </c>
      <c r="D76" s="1" t="s">
        <v>1037</v>
      </c>
      <c r="E76" s="1"/>
      <c r="F76" s="1"/>
    </row>
    <row r="77" spans="1:6" ht="20.100000000000001" customHeight="1" x14ac:dyDescent="0.2">
      <c r="A77" s="46"/>
      <c r="B77" s="2">
        <v>9</v>
      </c>
      <c r="C77" s="1" t="s">
        <v>569</v>
      </c>
      <c r="D77" s="1" t="s">
        <v>1038</v>
      </c>
      <c r="E77" s="1"/>
      <c r="F77" s="1"/>
    </row>
    <row r="78" spans="1:6" ht="20.100000000000001" customHeight="1" x14ac:dyDescent="0.2">
      <c r="A78" s="46"/>
      <c r="B78" s="2">
        <v>10</v>
      </c>
      <c r="C78" s="1" t="s">
        <v>570</v>
      </c>
      <c r="D78" s="1" t="s">
        <v>1039</v>
      </c>
      <c r="E78" s="1"/>
      <c r="F78" s="1"/>
    </row>
    <row r="79" spans="1:6" ht="20.100000000000001" customHeight="1" x14ac:dyDescent="0.2">
      <c r="A79" s="46"/>
      <c r="B79" s="2">
        <v>11</v>
      </c>
      <c r="C79" s="1" t="s">
        <v>1050</v>
      </c>
      <c r="D79" s="1" t="s">
        <v>1040</v>
      </c>
      <c r="E79" s="1"/>
      <c r="F79" s="1"/>
    </row>
    <row r="80" spans="1:6" ht="20.100000000000001" customHeight="1" x14ac:dyDescent="0.2">
      <c r="A80" s="46"/>
      <c r="B80" s="2">
        <v>12</v>
      </c>
      <c r="C80" s="1" t="s">
        <v>1051</v>
      </c>
      <c r="D80" s="1" t="s">
        <v>1041</v>
      </c>
      <c r="E80" s="1"/>
      <c r="F80" s="1"/>
    </row>
    <row r="81" spans="1:6" ht="20.100000000000001" customHeight="1" x14ac:dyDescent="0.2">
      <c r="A81" s="46"/>
      <c r="B81" s="2">
        <v>13</v>
      </c>
      <c r="C81" s="1" t="s">
        <v>1052</v>
      </c>
      <c r="D81" s="1" t="s">
        <v>1042</v>
      </c>
      <c r="E81" s="1"/>
      <c r="F81" s="1"/>
    </row>
    <row r="82" spans="1:6" ht="20.100000000000001" customHeight="1" x14ac:dyDescent="0.2">
      <c r="A82" s="46"/>
      <c r="B82" s="2">
        <v>14</v>
      </c>
      <c r="C82" s="1" t="s">
        <v>1053</v>
      </c>
      <c r="D82" s="1" t="s">
        <v>1043</v>
      </c>
      <c r="E82" s="1"/>
      <c r="F82" s="1"/>
    </row>
    <row r="83" spans="1:6" ht="20.100000000000001" customHeight="1" x14ac:dyDescent="0.2">
      <c r="A83" s="46"/>
      <c r="B83" s="2">
        <v>15</v>
      </c>
      <c r="C83" s="1" t="s">
        <v>1054</v>
      </c>
      <c r="D83" s="1" t="s">
        <v>1044</v>
      </c>
      <c r="E83" s="1"/>
      <c r="F83" s="1"/>
    </row>
    <row r="84" spans="1:6" ht="20.100000000000001" customHeight="1" x14ac:dyDescent="0.2">
      <c r="A84" s="46"/>
      <c r="B84" s="2">
        <v>16</v>
      </c>
      <c r="C84" s="1" t="s">
        <v>1055</v>
      </c>
      <c r="D84" s="1" t="s">
        <v>1045</v>
      </c>
      <c r="E84" s="1"/>
      <c r="F84" s="1"/>
    </row>
    <row r="85" spans="1:6" ht="20.100000000000001" customHeight="1" x14ac:dyDescent="0.2">
      <c r="A85" s="46"/>
      <c r="B85" s="2">
        <v>17</v>
      </c>
      <c r="C85" s="1" t="s">
        <v>1056</v>
      </c>
      <c r="D85" s="1" t="s">
        <v>1046</v>
      </c>
      <c r="E85" s="1"/>
      <c r="F85" s="1"/>
    </row>
    <row r="86" spans="1:6" ht="20.100000000000001" customHeight="1" x14ac:dyDescent="0.2">
      <c r="A86" s="46"/>
      <c r="B86" s="2">
        <v>18</v>
      </c>
      <c r="C86" s="1" t="s">
        <v>1057</v>
      </c>
      <c r="D86" s="1" t="s">
        <v>1047</v>
      </c>
      <c r="E86" s="1"/>
      <c r="F86" s="1"/>
    </row>
    <row r="87" spans="1:6" ht="20.100000000000001" customHeight="1" x14ac:dyDescent="0.2">
      <c r="A87" s="47"/>
      <c r="B87" s="2">
        <v>19</v>
      </c>
      <c r="C87" s="1" t="s">
        <v>1058</v>
      </c>
      <c r="D87" s="1" t="s">
        <v>1048</v>
      </c>
      <c r="E87" s="1"/>
      <c r="F87" s="1"/>
    </row>
    <row r="88" spans="1:6" ht="20.100000000000001" customHeight="1" x14ac:dyDescent="0.2">
      <c r="A88" s="2" t="s">
        <v>364</v>
      </c>
      <c r="B88" s="2">
        <v>0</v>
      </c>
      <c r="C88" s="1" t="s">
        <v>363</v>
      </c>
      <c r="D88" s="1" t="s">
        <v>364</v>
      </c>
      <c r="E88" s="1"/>
      <c r="F88" s="1"/>
    </row>
    <row r="89" spans="1:6" ht="20.100000000000001" customHeight="1" x14ac:dyDescent="0.2">
      <c r="A89" s="2" t="s">
        <v>838</v>
      </c>
      <c r="B89" s="2">
        <v>0</v>
      </c>
      <c r="C89" s="1" t="s">
        <v>839</v>
      </c>
      <c r="D89" s="1" t="s">
        <v>329</v>
      </c>
      <c r="E89" s="1"/>
      <c r="F89" s="1"/>
    </row>
    <row r="90" spans="1:6" ht="20.100000000000001" customHeight="1" x14ac:dyDescent="0.2">
      <c r="A90" s="44" t="s">
        <v>892</v>
      </c>
      <c r="B90" s="2">
        <v>0</v>
      </c>
      <c r="C90" s="1" t="s">
        <v>136</v>
      </c>
      <c r="D90" s="1" t="s">
        <v>1063</v>
      </c>
      <c r="E90" s="1" t="s">
        <v>332</v>
      </c>
      <c r="F90" s="1" t="s">
        <v>332</v>
      </c>
    </row>
    <row r="91" spans="1:6" ht="20.100000000000001" customHeight="1" x14ac:dyDescent="0.2">
      <c r="A91" s="44"/>
      <c r="B91" s="2">
        <v>1</v>
      </c>
      <c r="C91" s="1" t="s">
        <v>137</v>
      </c>
      <c r="D91" s="1" t="s">
        <v>1064</v>
      </c>
      <c r="E91" s="1" t="s">
        <v>332</v>
      </c>
      <c r="F91" s="1" t="s">
        <v>332</v>
      </c>
    </row>
    <row r="92" spans="1:6" ht="20.100000000000001" customHeight="1" x14ac:dyDescent="0.2">
      <c r="A92" s="44"/>
      <c r="B92" s="2">
        <v>2</v>
      </c>
      <c r="C92" s="1" t="s">
        <v>138</v>
      </c>
      <c r="D92" s="1" t="s">
        <v>1065</v>
      </c>
      <c r="E92" s="1" t="s">
        <v>332</v>
      </c>
      <c r="F92" s="1" t="s">
        <v>332</v>
      </c>
    </row>
    <row r="93" spans="1:6" ht="20.100000000000001" customHeight="1" x14ac:dyDescent="0.2">
      <c r="A93" s="44"/>
      <c r="B93" s="2">
        <v>3</v>
      </c>
      <c r="C93" s="1" t="s">
        <v>139</v>
      </c>
      <c r="D93" s="1" t="s">
        <v>1066</v>
      </c>
      <c r="E93" s="1" t="s">
        <v>332</v>
      </c>
      <c r="F93" s="1" t="s">
        <v>332</v>
      </c>
    </row>
    <row r="94" spans="1:6" ht="20.100000000000001" customHeight="1" x14ac:dyDescent="0.2">
      <c r="A94" s="44"/>
      <c r="B94" s="2">
        <v>4</v>
      </c>
      <c r="C94" s="1" t="s">
        <v>140</v>
      </c>
      <c r="D94" s="1" t="s">
        <v>893</v>
      </c>
      <c r="E94" s="1" t="s">
        <v>332</v>
      </c>
      <c r="F94" s="1" t="s">
        <v>332</v>
      </c>
    </row>
    <row r="95" spans="1:6" ht="20.100000000000001" customHeight="1" x14ac:dyDescent="0.2">
      <c r="A95" s="44"/>
      <c r="B95" s="2">
        <v>5</v>
      </c>
      <c r="C95" s="1" t="s">
        <v>141</v>
      </c>
      <c r="D95" s="1" t="s">
        <v>901</v>
      </c>
      <c r="E95" s="1" t="s">
        <v>332</v>
      </c>
      <c r="F95" s="1" t="s">
        <v>332</v>
      </c>
    </row>
    <row r="96" spans="1:6" ht="20.100000000000001" customHeight="1" x14ac:dyDescent="0.2">
      <c r="A96" s="44"/>
      <c r="B96" s="2">
        <v>6</v>
      </c>
      <c r="C96" s="1" t="s">
        <v>142</v>
      </c>
      <c r="D96" s="1" t="s">
        <v>903</v>
      </c>
      <c r="E96" s="1" t="s">
        <v>332</v>
      </c>
      <c r="F96" s="1" t="s">
        <v>332</v>
      </c>
    </row>
    <row r="97" spans="1:6" ht="20.100000000000001" customHeight="1" x14ac:dyDescent="0.2">
      <c r="A97" s="44"/>
      <c r="B97" s="2">
        <v>7</v>
      </c>
      <c r="C97" s="1" t="s">
        <v>143</v>
      </c>
      <c r="D97" s="1" t="s">
        <v>904</v>
      </c>
      <c r="E97" s="1" t="s">
        <v>332</v>
      </c>
      <c r="F97" s="1" t="s">
        <v>332</v>
      </c>
    </row>
    <row r="98" spans="1:6" ht="20.100000000000001" customHeight="1" x14ac:dyDescent="0.2">
      <c r="A98" s="44"/>
      <c r="B98" s="2">
        <v>8</v>
      </c>
      <c r="C98" s="1" t="s">
        <v>144</v>
      </c>
      <c r="D98" s="1" t="s">
        <v>905</v>
      </c>
      <c r="E98" s="1" t="s">
        <v>332</v>
      </c>
      <c r="F98" s="1" t="s">
        <v>332</v>
      </c>
    </row>
    <row r="99" spans="1:6" ht="20.100000000000001" customHeight="1" x14ac:dyDescent="0.2">
      <c r="A99" s="44"/>
      <c r="B99" s="2">
        <v>9</v>
      </c>
      <c r="C99" s="1" t="s">
        <v>145</v>
      </c>
      <c r="D99" s="1" t="s">
        <v>906</v>
      </c>
      <c r="E99" s="1" t="s">
        <v>332</v>
      </c>
      <c r="F99" s="1" t="s">
        <v>332</v>
      </c>
    </row>
    <row r="100" spans="1:6" ht="20.100000000000001" customHeight="1" x14ac:dyDescent="0.2">
      <c r="A100" s="44"/>
      <c r="B100" s="2">
        <v>10</v>
      </c>
      <c r="C100" s="1" t="s">
        <v>146</v>
      </c>
      <c r="D100" s="1" t="s">
        <v>902</v>
      </c>
      <c r="E100" s="1" t="s">
        <v>332</v>
      </c>
      <c r="F100" s="1" t="s">
        <v>332</v>
      </c>
    </row>
    <row r="101" spans="1:6" ht="20.100000000000001" customHeight="1" x14ac:dyDescent="0.2">
      <c r="A101" s="44"/>
      <c r="B101" s="2">
        <v>11</v>
      </c>
      <c r="C101" s="1" t="s">
        <v>147</v>
      </c>
      <c r="D101" s="1" t="s">
        <v>900</v>
      </c>
      <c r="E101" s="1" t="s">
        <v>332</v>
      </c>
      <c r="F101" s="1" t="s">
        <v>332</v>
      </c>
    </row>
    <row r="102" spans="1:6" ht="20.100000000000001" customHeight="1" x14ac:dyDescent="0.2">
      <c r="A102" s="44"/>
      <c r="B102" s="2">
        <v>12</v>
      </c>
      <c r="C102" s="1" t="s">
        <v>148</v>
      </c>
      <c r="D102" s="1" t="s">
        <v>894</v>
      </c>
      <c r="E102" s="1" t="s">
        <v>332</v>
      </c>
      <c r="F102" s="1" t="s">
        <v>332</v>
      </c>
    </row>
    <row r="103" spans="1:6" ht="20.100000000000001" customHeight="1" x14ac:dyDescent="0.2">
      <c r="A103" s="44"/>
      <c r="B103" s="2">
        <v>13</v>
      </c>
      <c r="C103" s="1" t="s">
        <v>149</v>
      </c>
      <c r="D103" s="1" t="s">
        <v>895</v>
      </c>
      <c r="E103" s="1" t="s">
        <v>332</v>
      </c>
      <c r="F103" s="1" t="s">
        <v>332</v>
      </c>
    </row>
    <row r="104" spans="1:6" ht="20.100000000000001" customHeight="1" x14ac:dyDescent="0.2">
      <c r="A104" s="44"/>
      <c r="B104" s="2">
        <v>14</v>
      </c>
      <c r="C104" s="1" t="s">
        <v>150</v>
      </c>
      <c r="D104" s="1" t="s">
        <v>896</v>
      </c>
      <c r="E104" s="1" t="s">
        <v>332</v>
      </c>
      <c r="F104" s="1" t="s">
        <v>332</v>
      </c>
    </row>
    <row r="105" spans="1:6" ht="20.100000000000001" customHeight="1" x14ac:dyDescent="0.2">
      <c r="A105" s="44"/>
      <c r="B105" s="2">
        <v>15</v>
      </c>
      <c r="C105" s="1" t="s">
        <v>151</v>
      </c>
      <c r="D105" s="1" t="s">
        <v>897</v>
      </c>
      <c r="E105" s="1" t="s">
        <v>332</v>
      </c>
      <c r="F105" s="1" t="s">
        <v>332</v>
      </c>
    </row>
    <row r="106" spans="1:6" ht="20.100000000000001" customHeight="1" x14ac:dyDescent="0.2">
      <c r="A106" s="44"/>
      <c r="B106" s="2">
        <v>16</v>
      </c>
      <c r="C106" s="1" t="s">
        <v>152</v>
      </c>
      <c r="D106" s="1" t="s">
        <v>898</v>
      </c>
      <c r="E106" s="1" t="s">
        <v>332</v>
      </c>
      <c r="F106" s="1" t="s">
        <v>332</v>
      </c>
    </row>
    <row r="107" spans="1:6" ht="20.100000000000001" customHeight="1" x14ac:dyDescent="0.2">
      <c r="A107" s="44"/>
      <c r="B107" s="2">
        <v>17</v>
      </c>
      <c r="C107" s="1" t="s">
        <v>153</v>
      </c>
      <c r="D107" s="1" t="s">
        <v>899</v>
      </c>
      <c r="E107" s="1" t="s">
        <v>332</v>
      </c>
      <c r="F107" s="1" t="s">
        <v>332</v>
      </c>
    </row>
  </sheetData>
  <mergeCells count="6">
    <mergeCell ref="A1:F1"/>
    <mergeCell ref="A3:A34"/>
    <mergeCell ref="A50:A67"/>
    <mergeCell ref="A90:A107"/>
    <mergeCell ref="A68:A87"/>
    <mergeCell ref="A35:A4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AA92-AE11-4600-8D87-B99299A329AE}">
  <dimension ref="A1:I432"/>
  <sheetViews>
    <sheetView tabSelected="1" topLeftCell="A243" zoomScaleNormal="100" workbookViewId="0">
      <selection activeCell="C254" sqref="C254:E259"/>
    </sheetView>
  </sheetViews>
  <sheetFormatPr defaultRowHeight="20.100000000000001" customHeight="1" x14ac:dyDescent="0.2"/>
  <cols>
    <col min="1" max="1" width="6.125" style="8" customWidth="1"/>
    <col min="2" max="2" width="4.5" style="8" bestFit="1" customWidth="1"/>
    <col min="3" max="3" width="5.25" style="7" bestFit="1" customWidth="1"/>
    <col min="4" max="4" width="6" style="7" bestFit="1" customWidth="1"/>
    <col min="5" max="5" width="16.625" style="13" customWidth="1"/>
    <col min="6" max="6" width="15" style="8" customWidth="1"/>
    <col min="7" max="7" width="13.875" style="7" bestFit="1" customWidth="1"/>
    <col min="8" max="16384" width="9" style="7"/>
  </cols>
  <sheetData>
    <row r="1" spans="1:6" ht="20.100000000000001" customHeight="1" x14ac:dyDescent="0.2">
      <c r="A1" s="44" t="s">
        <v>774</v>
      </c>
      <c r="B1" s="44"/>
      <c r="C1" s="44"/>
      <c r="D1" s="44"/>
      <c r="E1" s="44"/>
      <c r="F1" s="44"/>
    </row>
    <row r="2" spans="1:6" s="6" customFormat="1" ht="20.100000000000001" customHeight="1" x14ac:dyDescent="0.2">
      <c r="A2" s="5" t="s">
        <v>0</v>
      </c>
      <c r="B2" s="5" t="s">
        <v>1</v>
      </c>
      <c r="C2" s="5" t="s">
        <v>8</v>
      </c>
      <c r="D2" s="5" t="s">
        <v>417</v>
      </c>
      <c r="E2" s="11" t="s">
        <v>6</v>
      </c>
      <c r="F2" s="5" t="s">
        <v>47</v>
      </c>
    </row>
    <row r="3" spans="1:6" ht="20.100000000000001" customHeight="1" x14ac:dyDescent="0.2">
      <c r="A3" s="51" t="s">
        <v>480</v>
      </c>
      <c r="B3" s="18">
        <v>0</v>
      </c>
      <c r="C3" s="19" t="s">
        <v>460</v>
      </c>
      <c r="D3" s="19"/>
      <c r="E3" s="20" t="s">
        <v>560</v>
      </c>
      <c r="F3" s="18"/>
    </row>
    <row r="4" spans="1:6" ht="20.100000000000001" customHeight="1" x14ac:dyDescent="0.2">
      <c r="A4" s="51"/>
      <c r="B4" s="18">
        <v>1</v>
      </c>
      <c r="C4" s="19" t="s">
        <v>926</v>
      </c>
      <c r="D4" s="19"/>
      <c r="E4" s="20"/>
      <c r="F4" s="18"/>
    </row>
    <row r="5" spans="1:6" ht="20.100000000000001" customHeight="1" x14ac:dyDescent="0.2">
      <c r="A5" s="51"/>
      <c r="B5" s="18">
        <v>2</v>
      </c>
      <c r="C5" s="19" t="s">
        <v>927</v>
      </c>
      <c r="D5" s="19"/>
      <c r="E5" s="20" t="s">
        <v>561</v>
      </c>
      <c r="F5" s="18"/>
    </row>
    <row r="6" spans="1:6" ht="20.100000000000001" customHeight="1" x14ac:dyDescent="0.2">
      <c r="A6" s="51"/>
      <c r="B6" s="18">
        <v>3</v>
      </c>
      <c r="C6" s="19" t="s">
        <v>928</v>
      </c>
      <c r="D6" s="19"/>
      <c r="E6" s="20"/>
      <c r="F6" s="18"/>
    </row>
    <row r="7" spans="1:6" ht="20.100000000000001" customHeight="1" x14ac:dyDescent="0.2">
      <c r="A7" s="51"/>
      <c r="B7" s="18">
        <v>4</v>
      </c>
      <c r="C7" s="19" t="s">
        <v>929</v>
      </c>
      <c r="D7" s="19"/>
      <c r="E7" s="20" t="s">
        <v>562</v>
      </c>
      <c r="F7" s="18"/>
    </row>
    <row r="8" spans="1:6" ht="20.100000000000001" customHeight="1" x14ac:dyDescent="0.2">
      <c r="A8" s="51"/>
      <c r="B8" s="18">
        <v>5</v>
      </c>
      <c r="C8" s="19" t="s">
        <v>930</v>
      </c>
      <c r="D8" s="19"/>
      <c r="E8" s="20"/>
      <c r="F8" s="18"/>
    </row>
    <row r="9" spans="1:6" ht="20.100000000000001" customHeight="1" x14ac:dyDescent="0.2">
      <c r="A9" s="51"/>
      <c r="B9" s="18">
        <v>6</v>
      </c>
      <c r="C9" s="19" t="s">
        <v>931</v>
      </c>
      <c r="D9" s="19"/>
      <c r="E9" s="20" t="s">
        <v>563</v>
      </c>
      <c r="F9" s="18"/>
    </row>
    <row r="10" spans="1:6" ht="20.100000000000001" customHeight="1" x14ac:dyDescent="0.2">
      <c r="A10" s="51"/>
      <c r="B10" s="18">
        <v>7</v>
      </c>
      <c r="C10" s="19" t="s">
        <v>932</v>
      </c>
      <c r="D10" s="19"/>
      <c r="E10" s="20"/>
      <c r="F10" s="18"/>
    </row>
    <row r="11" spans="1:6" ht="20.100000000000001" customHeight="1" x14ac:dyDescent="0.2">
      <c r="A11" s="51"/>
      <c r="B11" s="18">
        <v>8</v>
      </c>
      <c r="C11" s="19" t="s">
        <v>933</v>
      </c>
      <c r="D11" s="19"/>
      <c r="E11" s="20" t="s">
        <v>787</v>
      </c>
      <c r="F11" s="18"/>
    </row>
    <row r="12" spans="1:6" ht="20.100000000000001" customHeight="1" x14ac:dyDescent="0.2">
      <c r="A12" s="51"/>
      <c r="B12" s="18">
        <v>9</v>
      </c>
      <c r="C12" s="19" t="s">
        <v>934</v>
      </c>
      <c r="D12" s="19"/>
      <c r="E12" s="20"/>
      <c r="F12" s="18"/>
    </row>
    <row r="13" spans="1:6" ht="20.100000000000001" customHeight="1" x14ac:dyDescent="0.2">
      <c r="A13" s="51"/>
      <c r="B13" s="18">
        <v>10</v>
      </c>
      <c r="C13" s="19" t="s">
        <v>461</v>
      </c>
      <c r="D13" s="19"/>
      <c r="E13" s="20" t="s">
        <v>788</v>
      </c>
      <c r="F13" s="18"/>
    </row>
    <row r="14" spans="1:6" ht="20.100000000000001" customHeight="1" x14ac:dyDescent="0.2">
      <c r="A14" s="51"/>
      <c r="B14" s="18">
        <v>11</v>
      </c>
      <c r="C14" s="19" t="s">
        <v>462</v>
      </c>
      <c r="D14" s="19"/>
      <c r="E14" s="20" t="s">
        <v>505</v>
      </c>
      <c r="F14" s="18" t="s">
        <v>511</v>
      </c>
    </row>
    <row r="15" spans="1:6" ht="20.100000000000001" customHeight="1" x14ac:dyDescent="0.2">
      <c r="A15" s="51"/>
      <c r="B15" s="18">
        <v>12</v>
      </c>
      <c r="C15" s="19" t="s">
        <v>463</v>
      </c>
      <c r="D15" s="19"/>
      <c r="E15" s="20" t="s">
        <v>506</v>
      </c>
      <c r="F15" s="18" t="s">
        <v>512</v>
      </c>
    </row>
    <row r="16" spans="1:6" ht="20.100000000000001" customHeight="1" x14ac:dyDescent="0.2">
      <c r="A16" s="51"/>
      <c r="B16" s="18">
        <v>13</v>
      </c>
      <c r="C16" s="19" t="s">
        <v>464</v>
      </c>
      <c r="D16" s="19"/>
      <c r="E16" s="20" t="s">
        <v>507</v>
      </c>
      <c r="F16" s="18" t="s">
        <v>513</v>
      </c>
    </row>
    <row r="17" spans="1:6" ht="20.100000000000001" customHeight="1" x14ac:dyDescent="0.2">
      <c r="A17" s="51"/>
      <c r="B17" s="18">
        <v>14</v>
      </c>
      <c r="C17" s="19" t="s">
        <v>465</v>
      </c>
      <c r="D17" s="19"/>
      <c r="E17" s="20" t="s">
        <v>508</v>
      </c>
      <c r="F17" s="18" t="s">
        <v>514</v>
      </c>
    </row>
    <row r="18" spans="1:6" ht="20.100000000000001" customHeight="1" x14ac:dyDescent="0.2">
      <c r="A18" s="51"/>
      <c r="B18" s="18">
        <v>15</v>
      </c>
      <c r="C18" s="19" t="s">
        <v>466</v>
      </c>
      <c r="D18" s="19"/>
      <c r="E18" s="20" t="s">
        <v>509</v>
      </c>
      <c r="F18" s="18" t="s">
        <v>515</v>
      </c>
    </row>
    <row r="19" spans="1:6" ht="20.100000000000001" customHeight="1" x14ac:dyDescent="0.2">
      <c r="A19" s="51"/>
      <c r="B19" s="18">
        <v>16</v>
      </c>
      <c r="C19" s="19" t="s">
        <v>467</v>
      </c>
      <c r="D19" s="19"/>
      <c r="E19" s="20" t="s">
        <v>510</v>
      </c>
      <c r="F19" s="18" t="s">
        <v>516</v>
      </c>
    </row>
    <row r="20" spans="1:6" ht="20.100000000000001" customHeight="1" x14ac:dyDescent="0.2">
      <c r="A20" s="51"/>
      <c r="B20" s="18">
        <v>17</v>
      </c>
      <c r="C20" s="19" t="s">
        <v>468</v>
      </c>
      <c r="D20" s="19"/>
      <c r="E20" s="20" t="s">
        <v>935</v>
      </c>
      <c r="F20" s="18" t="s">
        <v>517</v>
      </c>
    </row>
    <row r="21" spans="1:6" ht="20.100000000000001" customHeight="1" x14ac:dyDescent="0.2">
      <c r="A21" s="51"/>
      <c r="B21" s="18">
        <v>18</v>
      </c>
      <c r="C21" s="19" t="s">
        <v>469</v>
      </c>
      <c r="D21" s="19"/>
      <c r="E21" s="20" t="s">
        <v>936</v>
      </c>
      <c r="F21" s="18" t="s">
        <v>518</v>
      </c>
    </row>
    <row r="22" spans="1:6" ht="20.100000000000001" customHeight="1" x14ac:dyDescent="0.2">
      <c r="A22" s="51"/>
      <c r="B22" s="18">
        <v>19</v>
      </c>
      <c r="C22" s="19" t="s">
        <v>470</v>
      </c>
      <c r="D22" s="19"/>
      <c r="E22" s="20" t="s">
        <v>937</v>
      </c>
      <c r="F22" s="18" t="s">
        <v>519</v>
      </c>
    </row>
    <row r="23" spans="1:6" ht="20.100000000000001" customHeight="1" x14ac:dyDescent="0.2">
      <c r="A23" s="51"/>
      <c r="B23" s="18">
        <v>20</v>
      </c>
      <c r="C23" s="19" t="s">
        <v>471</v>
      </c>
      <c r="D23" s="19"/>
      <c r="E23" s="20" t="s">
        <v>938</v>
      </c>
      <c r="F23" s="18" t="s">
        <v>520</v>
      </c>
    </row>
    <row r="24" spans="1:6" ht="20.100000000000001" customHeight="1" x14ac:dyDescent="0.2">
      <c r="A24" s="51"/>
      <c r="B24" s="18">
        <v>21</v>
      </c>
      <c r="C24" s="19" t="s">
        <v>472</v>
      </c>
      <c r="D24" s="19"/>
      <c r="E24" s="20" t="s">
        <v>939</v>
      </c>
      <c r="F24" s="18" t="s">
        <v>521</v>
      </c>
    </row>
    <row r="25" spans="1:6" ht="20.100000000000001" customHeight="1" x14ac:dyDescent="0.2">
      <c r="A25" s="51"/>
      <c r="B25" s="18">
        <v>22</v>
      </c>
      <c r="C25" s="19" t="s">
        <v>473</v>
      </c>
      <c r="D25" s="19"/>
      <c r="E25" s="20" t="s">
        <v>940</v>
      </c>
      <c r="F25" s="18" t="s">
        <v>522</v>
      </c>
    </row>
    <row r="26" spans="1:6" ht="20.100000000000001" customHeight="1" x14ac:dyDescent="0.2">
      <c r="A26" s="51"/>
      <c r="B26" s="18">
        <v>23</v>
      </c>
      <c r="C26" s="19" t="s">
        <v>474</v>
      </c>
      <c r="D26" s="19"/>
      <c r="E26" s="20" t="s">
        <v>941</v>
      </c>
      <c r="F26" s="18" t="s">
        <v>523</v>
      </c>
    </row>
    <row r="27" spans="1:6" ht="20.100000000000001" customHeight="1" x14ac:dyDescent="0.2">
      <c r="A27" s="51"/>
      <c r="B27" s="18">
        <v>24</v>
      </c>
      <c r="C27" s="19" t="s">
        <v>475</v>
      </c>
      <c r="D27" s="19"/>
      <c r="E27" s="20" t="s">
        <v>942</v>
      </c>
      <c r="F27" s="18" t="s">
        <v>524</v>
      </c>
    </row>
    <row r="28" spans="1:6" ht="20.100000000000001" customHeight="1" x14ac:dyDescent="0.2">
      <c r="A28" s="51"/>
      <c r="B28" s="18">
        <v>25</v>
      </c>
      <c r="C28" s="19" t="s">
        <v>476</v>
      </c>
      <c r="D28" s="19"/>
      <c r="E28" s="20" t="s">
        <v>943</v>
      </c>
      <c r="F28" s="18" t="s">
        <v>525</v>
      </c>
    </row>
    <row r="29" spans="1:6" ht="20.100000000000001" customHeight="1" x14ac:dyDescent="0.2">
      <c r="A29" s="51"/>
      <c r="B29" s="18">
        <v>26</v>
      </c>
      <c r="C29" s="19" t="s">
        <v>477</v>
      </c>
      <c r="D29" s="19"/>
      <c r="E29" s="20" t="s">
        <v>944</v>
      </c>
      <c r="F29" s="18" t="s">
        <v>526</v>
      </c>
    </row>
    <row r="30" spans="1:6" ht="20.100000000000001" customHeight="1" x14ac:dyDescent="0.2">
      <c r="A30" s="51"/>
      <c r="B30" s="18">
        <v>27</v>
      </c>
      <c r="C30" s="19" t="s">
        <v>478</v>
      </c>
      <c r="D30" s="19"/>
      <c r="E30" s="20" t="s">
        <v>945</v>
      </c>
      <c r="F30" s="18" t="s">
        <v>527</v>
      </c>
    </row>
    <row r="31" spans="1:6" ht="20.100000000000001" customHeight="1" x14ac:dyDescent="0.2">
      <c r="A31" s="51"/>
      <c r="B31" s="18">
        <v>28</v>
      </c>
      <c r="C31" s="19" t="s">
        <v>479</v>
      </c>
      <c r="D31" s="19"/>
      <c r="E31" s="20" t="s">
        <v>946</v>
      </c>
      <c r="F31" s="18" t="s">
        <v>528</v>
      </c>
    </row>
    <row r="32" spans="1:6" ht="20.100000000000001" customHeight="1" x14ac:dyDescent="0.2">
      <c r="A32" s="51"/>
      <c r="B32" s="18">
        <v>29</v>
      </c>
      <c r="C32" s="19" t="s">
        <v>556</v>
      </c>
      <c r="D32" s="19"/>
      <c r="E32" s="20" t="s">
        <v>564</v>
      </c>
      <c r="F32" s="18"/>
    </row>
    <row r="33" spans="1:9" ht="20.100000000000001" customHeight="1" x14ac:dyDescent="0.2">
      <c r="A33" s="51"/>
      <c r="B33" s="18">
        <v>30</v>
      </c>
      <c r="C33" s="19" t="s">
        <v>557</v>
      </c>
      <c r="D33" s="19"/>
      <c r="E33" s="20" t="s">
        <v>565</v>
      </c>
      <c r="F33" s="18"/>
    </row>
    <row r="34" spans="1:9" ht="20.100000000000001" customHeight="1" x14ac:dyDescent="0.2">
      <c r="A34" s="51"/>
      <c r="B34" s="18">
        <v>31</v>
      </c>
      <c r="C34" s="19" t="s">
        <v>558</v>
      </c>
      <c r="D34" s="19"/>
      <c r="E34" s="20" t="s">
        <v>566</v>
      </c>
      <c r="F34" s="18"/>
    </row>
    <row r="35" spans="1:9" ht="20.100000000000001" customHeight="1" x14ac:dyDescent="0.2">
      <c r="A35" s="51"/>
      <c r="B35" s="18">
        <v>32</v>
      </c>
      <c r="C35" s="19" t="s">
        <v>559</v>
      </c>
      <c r="D35" s="19"/>
      <c r="E35" s="20" t="s">
        <v>567</v>
      </c>
      <c r="F35" s="18"/>
    </row>
    <row r="36" spans="1:9" ht="20.100000000000001" customHeight="1" x14ac:dyDescent="0.2">
      <c r="A36" s="51"/>
      <c r="B36" s="18">
        <v>33</v>
      </c>
      <c r="C36" s="19" t="s">
        <v>571</v>
      </c>
      <c r="D36" s="19"/>
      <c r="E36" s="20" t="s">
        <v>789</v>
      </c>
      <c r="F36" s="18"/>
    </row>
    <row r="37" spans="1:9" ht="20.100000000000001" customHeight="1" x14ac:dyDescent="0.2">
      <c r="A37" s="51"/>
      <c r="B37" s="18">
        <v>34</v>
      </c>
      <c r="C37" s="19" t="s">
        <v>790</v>
      </c>
      <c r="D37" s="19"/>
      <c r="E37" s="20" t="s">
        <v>791</v>
      </c>
      <c r="F37" s="18"/>
    </row>
    <row r="38" spans="1:9" ht="20.100000000000001" customHeight="1" x14ac:dyDescent="0.2">
      <c r="A38" s="51"/>
      <c r="B38" s="18">
        <v>35</v>
      </c>
      <c r="C38" s="19" t="s">
        <v>792</v>
      </c>
      <c r="D38" s="19"/>
      <c r="E38" s="20" t="s">
        <v>793</v>
      </c>
      <c r="F38" s="18"/>
    </row>
    <row r="39" spans="1:9" ht="20.100000000000001" customHeight="1" x14ac:dyDescent="0.2">
      <c r="A39" s="51"/>
      <c r="B39" s="18">
        <v>36</v>
      </c>
      <c r="C39" s="19" t="s">
        <v>794</v>
      </c>
      <c r="D39" s="19"/>
      <c r="E39" s="20" t="s">
        <v>795</v>
      </c>
      <c r="F39" s="18"/>
    </row>
    <row r="40" spans="1:9" ht="20.100000000000001" customHeight="1" x14ac:dyDescent="0.2">
      <c r="A40" s="51"/>
      <c r="B40" s="18">
        <v>37</v>
      </c>
      <c r="C40" s="19" t="s">
        <v>796</v>
      </c>
      <c r="D40" s="19"/>
      <c r="E40" s="20" t="s">
        <v>797</v>
      </c>
      <c r="F40" s="18"/>
    </row>
    <row r="41" spans="1:9" ht="20.100000000000001" customHeight="1" x14ac:dyDescent="0.2">
      <c r="A41" s="51"/>
      <c r="B41" s="18">
        <v>38</v>
      </c>
      <c r="C41" s="19" t="s">
        <v>798</v>
      </c>
      <c r="D41" s="19"/>
      <c r="E41" s="20" t="s">
        <v>799</v>
      </c>
      <c r="F41" s="18"/>
    </row>
    <row r="42" spans="1:9" ht="20.100000000000001" customHeight="1" x14ac:dyDescent="0.2">
      <c r="A42" s="51"/>
      <c r="B42" s="18">
        <v>39</v>
      </c>
      <c r="C42" s="19" t="s">
        <v>800</v>
      </c>
      <c r="D42" s="19"/>
      <c r="E42" s="20" t="s">
        <v>801</v>
      </c>
      <c r="F42" s="18"/>
    </row>
    <row r="43" spans="1:9" ht="20.100000000000001" customHeight="1" x14ac:dyDescent="0.2">
      <c r="A43" s="48" t="s">
        <v>333</v>
      </c>
      <c r="B43" s="14">
        <v>0</v>
      </c>
      <c r="C43" s="15" t="s">
        <v>20</v>
      </c>
      <c r="D43" s="15">
        <f>4097+300+B43-1</f>
        <v>4396</v>
      </c>
      <c r="E43" s="16" t="s">
        <v>357</v>
      </c>
      <c r="F43" s="14"/>
    </row>
    <row r="44" spans="1:9" ht="20.100000000000001" customHeight="1" x14ac:dyDescent="0.2">
      <c r="A44" s="49"/>
      <c r="B44" s="14">
        <v>1</v>
      </c>
      <c r="C44" s="15" t="s">
        <v>172</v>
      </c>
      <c r="D44" s="15">
        <f t="shared" ref="D44:D46" si="0">4097+300+B44-1</f>
        <v>4397</v>
      </c>
      <c r="E44" s="16" t="s">
        <v>358</v>
      </c>
      <c r="F44" s="14"/>
    </row>
    <row r="45" spans="1:9" ht="20.100000000000001" customHeight="1" x14ac:dyDescent="0.2">
      <c r="A45" s="49"/>
      <c r="B45" s="14">
        <v>2</v>
      </c>
      <c r="C45" s="15" t="s">
        <v>173</v>
      </c>
      <c r="D45" s="15">
        <f t="shared" si="0"/>
        <v>4398</v>
      </c>
      <c r="E45" s="16" t="s">
        <v>359</v>
      </c>
      <c r="F45" s="14"/>
    </row>
    <row r="46" spans="1:9" ht="20.100000000000001" customHeight="1" x14ac:dyDescent="0.2">
      <c r="A46" s="49"/>
      <c r="B46" s="14">
        <v>3</v>
      </c>
      <c r="C46" s="15" t="s">
        <v>174</v>
      </c>
      <c r="D46" s="15">
        <f t="shared" si="0"/>
        <v>4399</v>
      </c>
      <c r="E46" s="16" t="s">
        <v>360</v>
      </c>
      <c r="F46" s="14"/>
    </row>
    <row r="47" spans="1:9" ht="20.100000000000001" customHeight="1" x14ac:dyDescent="0.2">
      <c r="A47" s="49"/>
      <c r="B47" s="14">
        <v>4</v>
      </c>
      <c r="C47" s="15" t="s">
        <v>337</v>
      </c>
      <c r="D47" s="15">
        <f t="shared" ref="D47:D106" si="1">4097+300+B47-1</f>
        <v>4400</v>
      </c>
      <c r="E47" s="16" t="s">
        <v>743</v>
      </c>
      <c r="F47" s="14" t="s">
        <v>355</v>
      </c>
      <c r="G47" s="15" t="s">
        <v>752</v>
      </c>
      <c r="I47" s="7">
        <v>0</v>
      </c>
    </row>
    <row r="48" spans="1:9" ht="20.100000000000001" customHeight="1" x14ac:dyDescent="0.2">
      <c r="A48" s="49"/>
      <c r="B48" s="14">
        <v>5</v>
      </c>
      <c r="C48" s="15" t="s">
        <v>338</v>
      </c>
      <c r="D48" s="15">
        <f t="shared" si="1"/>
        <v>4401</v>
      </c>
      <c r="E48" s="16" t="s">
        <v>775</v>
      </c>
      <c r="F48" s="14" t="s">
        <v>355</v>
      </c>
      <c r="G48" s="15" t="s">
        <v>753</v>
      </c>
      <c r="I48" s="7">
        <v>1</v>
      </c>
    </row>
    <row r="49" spans="1:9" ht="20.100000000000001" customHeight="1" x14ac:dyDescent="0.2">
      <c r="A49" s="49"/>
      <c r="B49" s="14">
        <v>6</v>
      </c>
      <c r="C49" s="15" t="s">
        <v>339</v>
      </c>
      <c r="D49" s="15">
        <f t="shared" si="1"/>
        <v>4402</v>
      </c>
      <c r="E49" s="16" t="s">
        <v>767</v>
      </c>
      <c r="F49" s="14"/>
      <c r="G49" s="15" t="s">
        <v>754</v>
      </c>
      <c r="I49" s="7">
        <v>2</v>
      </c>
    </row>
    <row r="50" spans="1:9" ht="20.100000000000001" customHeight="1" x14ac:dyDescent="0.2">
      <c r="A50" s="49"/>
      <c r="B50" s="14">
        <v>7</v>
      </c>
      <c r="C50" s="15" t="s">
        <v>340</v>
      </c>
      <c r="D50" s="15">
        <f t="shared" si="1"/>
        <v>4403</v>
      </c>
      <c r="E50" s="16" t="s">
        <v>776</v>
      </c>
      <c r="F50" s="14"/>
      <c r="G50" s="15" t="s">
        <v>755</v>
      </c>
      <c r="I50" s="7">
        <v>3</v>
      </c>
    </row>
    <row r="51" spans="1:9" ht="20.100000000000001" customHeight="1" x14ac:dyDescent="0.2">
      <c r="A51" s="49"/>
      <c r="B51" s="14">
        <v>8</v>
      </c>
      <c r="C51" s="15" t="s">
        <v>341</v>
      </c>
      <c r="D51" s="15">
        <f t="shared" si="1"/>
        <v>4404</v>
      </c>
      <c r="E51" s="16" t="s">
        <v>777</v>
      </c>
      <c r="F51" s="14"/>
      <c r="G51" s="15" t="s">
        <v>756</v>
      </c>
      <c r="I51" s="7">
        <v>4</v>
      </c>
    </row>
    <row r="52" spans="1:9" ht="20.100000000000001" customHeight="1" x14ac:dyDescent="0.2">
      <c r="A52" s="49"/>
      <c r="B52" s="14">
        <v>9</v>
      </c>
      <c r="C52" s="15" t="s">
        <v>342</v>
      </c>
      <c r="D52" s="15">
        <f t="shared" si="1"/>
        <v>4405</v>
      </c>
      <c r="E52" s="16" t="s">
        <v>768</v>
      </c>
      <c r="F52" s="14"/>
      <c r="G52" s="15" t="s">
        <v>757</v>
      </c>
      <c r="I52" s="7">
        <v>5</v>
      </c>
    </row>
    <row r="53" spans="1:9" ht="20.100000000000001" customHeight="1" x14ac:dyDescent="0.2">
      <c r="A53" s="49"/>
      <c r="B53" s="14">
        <v>10</v>
      </c>
      <c r="C53" s="15" t="s">
        <v>343</v>
      </c>
      <c r="D53" s="15">
        <f t="shared" si="1"/>
        <v>4406</v>
      </c>
      <c r="E53" s="16" t="s">
        <v>769</v>
      </c>
      <c r="F53" s="14"/>
      <c r="G53" s="15" t="s">
        <v>758</v>
      </c>
      <c r="I53" s="7">
        <v>6</v>
      </c>
    </row>
    <row r="54" spans="1:9" ht="20.100000000000001" customHeight="1" x14ac:dyDescent="0.2">
      <c r="A54" s="49"/>
      <c r="B54" s="14">
        <v>11</v>
      </c>
      <c r="C54" s="15" t="s">
        <v>344</v>
      </c>
      <c r="D54" s="15">
        <f t="shared" si="1"/>
        <v>4407</v>
      </c>
      <c r="E54" s="16" t="s">
        <v>770</v>
      </c>
      <c r="F54" s="14"/>
      <c r="G54" s="15" t="s">
        <v>759</v>
      </c>
      <c r="I54" s="7">
        <v>7</v>
      </c>
    </row>
    <row r="55" spans="1:9" ht="20.100000000000001" customHeight="1" x14ac:dyDescent="0.2">
      <c r="A55" s="49"/>
      <c r="B55" s="14">
        <v>12</v>
      </c>
      <c r="C55" s="15" t="s">
        <v>345</v>
      </c>
      <c r="D55" s="15">
        <f t="shared" si="1"/>
        <v>4408</v>
      </c>
      <c r="E55" s="16" t="s">
        <v>778</v>
      </c>
      <c r="F55" s="14"/>
      <c r="G55" s="15" t="s">
        <v>760</v>
      </c>
      <c r="I55" s="7">
        <v>8</v>
      </c>
    </row>
    <row r="56" spans="1:9" ht="20.100000000000001" customHeight="1" x14ac:dyDescent="0.2">
      <c r="A56" s="49"/>
      <c r="B56" s="14">
        <v>13</v>
      </c>
      <c r="C56" s="15" t="s">
        <v>346</v>
      </c>
      <c r="D56" s="15">
        <f t="shared" si="1"/>
        <v>4409</v>
      </c>
      <c r="E56" s="16" t="s">
        <v>779</v>
      </c>
      <c r="F56" s="14"/>
      <c r="G56" s="15" t="s">
        <v>761</v>
      </c>
      <c r="I56" s="7">
        <v>9</v>
      </c>
    </row>
    <row r="57" spans="1:9" ht="20.100000000000001" customHeight="1" x14ac:dyDescent="0.2">
      <c r="A57" s="49"/>
      <c r="B57" s="14">
        <v>14</v>
      </c>
      <c r="C57" s="15" t="s">
        <v>347</v>
      </c>
      <c r="D57" s="15">
        <f t="shared" si="1"/>
        <v>4410</v>
      </c>
      <c r="E57" s="16" t="s">
        <v>780</v>
      </c>
      <c r="F57" s="14"/>
      <c r="G57" s="15" t="s">
        <v>762</v>
      </c>
      <c r="I57" s="7">
        <v>10</v>
      </c>
    </row>
    <row r="58" spans="1:9" ht="20.100000000000001" customHeight="1" x14ac:dyDescent="0.2">
      <c r="A58" s="49"/>
      <c r="B58" s="14">
        <v>15</v>
      </c>
      <c r="C58" s="15" t="s">
        <v>348</v>
      </c>
      <c r="D58" s="15">
        <f t="shared" si="1"/>
        <v>4411</v>
      </c>
      <c r="E58" s="16" t="s">
        <v>781</v>
      </c>
      <c r="F58" s="14"/>
      <c r="G58" s="15" t="s">
        <v>763</v>
      </c>
      <c r="I58" s="7">
        <v>11</v>
      </c>
    </row>
    <row r="59" spans="1:9" ht="20.100000000000001" customHeight="1" x14ac:dyDescent="0.2">
      <c r="A59" s="49"/>
      <c r="B59" s="14">
        <v>16</v>
      </c>
      <c r="C59" s="15" t="s">
        <v>349</v>
      </c>
      <c r="D59" s="15">
        <f t="shared" si="1"/>
        <v>4412</v>
      </c>
      <c r="E59" s="16" t="s">
        <v>782</v>
      </c>
      <c r="F59" s="14"/>
      <c r="G59" s="15" t="s">
        <v>764</v>
      </c>
      <c r="I59" s="7">
        <v>12</v>
      </c>
    </row>
    <row r="60" spans="1:9" ht="20.100000000000001" customHeight="1" x14ac:dyDescent="0.2">
      <c r="A60" s="49"/>
      <c r="B60" s="14">
        <v>17</v>
      </c>
      <c r="C60" s="15" t="s">
        <v>350</v>
      </c>
      <c r="D60" s="15">
        <f t="shared" si="1"/>
        <v>4413</v>
      </c>
      <c r="E60" s="16" t="s">
        <v>771</v>
      </c>
      <c r="F60" s="14"/>
      <c r="G60" s="15" t="s">
        <v>765</v>
      </c>
      <c r="I60" s="7">
        <v>13</v>
      </c>
    </row>
    <row r="61" spans="1:9" ht="20.100000000000001" customHeight="1" x14ac:dyDescent="0.2">
      <c r="A61" s="49"/>
      <c r="B61" s="14">
        <v>18</v>
      </c>
      <c r="C61" s="15" t="s">
        <v>351</v>
      </c>
      <c r="D61" s="15">
        <f t="shared" si="1"/>
        <v>4414</v>
      </c>
      <c r="E61" s="16" t="s">
        <v>772</v>
      </c>
      <c r="F61" s="14"/>
      <c r="G61" s="15" t="s">
        <v>766</v>
      </c>
      <c r="I61" s="7">
        <v>14</v>
      </c>
    </row>
    <row r="62" spans="1:9" ht="20.100000000000001" customHeight="1" x14ac:dyDescent="0.2">
      <c r="A62" s="49"/>
      <c r="B62" s="14">
        <v>19</v>
      </c>
      <c r="C62" s="15" t="s">
        <v>352</v>
      </c>
      <c r="D62" s="15">
        <f t="shared" si="1"/>
        <v>4415</v>
      </c>
      <c r="E62" s="16" t="s">
        <v>747</v>
      </c>
      <c r="F62" s="14" t="s">
        <v>356</v>
      </c>
      <c r="G62" s="15" t="s">
        <v>349</v>
      </c>
      <c r="H62" s="7">
        <v>0</v>
      </c>
      <c r="I62" s="7">
        <v>15</v>
      </c>
    </row>
    <row r="63" spans="1:9" ht="20.100000000000001" customHeight="1" x14ac:dyDescent="0.2">
      <c r="A63" s="49"/>
      <c r="B63" s="14">
        <v>20</v>
      </c>
      <c r="C63" s="15" t="s">
        <v>353</v>
      </c>
      <c r="D63" s="15">
        <f t="shared" si="1"/>
        <v>4416</v>
      </c>
      <c r="E63" s="16" t="s">
        <v>748</v>
      </c>
      <c r="F63" s="14" t="s">
        <v>356</v>
      </c>
      <c r="G63" s="15" t="s">
        <v>350</v>
      </c>
      <c r="H63" s="7">
        <v>1</v>
      </c>
      <c r="I63" s="7">
        <v>16</v>
      </c>
    </row>
    <row r="64" spans="1:9" ht="20.100000000000001" customHeight="1" x14ac:dyDescent="0.2">
      <c r="A64" s="49"/>
      <c r="B64" s="14">
        <v>21</v>
      </c>
      <c r="C64" s="15" t="s">
        <v>354</v>
      </c>
      <c r="D64" s="15">
        <f t="shared" si="1"/>
        <v>4417</v>
      </c>
      <c r="E64" s="16" t="s">
        <v>749</v>
      </c>
      <c r="F64" s="14" t="s">
        <v>356</v>
      </c>
      <c r="G64" s="15" t="s">
        <v>351</v>
      </c>
      <c r="H64" s="7">
        <v>2</v>
      </c>
      <c r="I64" s="7">
        <v>17</v>
      </c>
    </row>
    <row r="65" spans="1:9" ht="20.100000000000001" customHeight="1" x14ac:dyDescent="0.2">
      <c r="A65" s="49"/>
      <c r="B65" s="14">
        <v>22</v>
      </c>
      <c r="C65" s="15" t="s">
        <v>751</v>
      </c>
      <c r="D65" s="15">
        <f t="shared" si="1"/>
        <v>4418</v>
      </c>
      <c r="E65" s="16" t="s">
        <v>744</v>
      </c>
      <c r="F65" s="14" t="s">
        <v>356</v>
      </c>
      <c r="G65" s="15" t="s">
        <v>352</v>
      </c>
      <c r="H65" s="7">
        <v>3</v>
      </c>
      <c r="I65" s="7">
        <v>18</v>
      </c>
    </row>
    <row r="66" spans="1:9" ht="20.100000000000001" customHeight="1" x14ac:dyDescent="0.2">
      <c r="A66" s="49"/>
      <c r="B66" s="14">
        <v>23</v>
      </c>
      <c r="C66" s="15" t="s">
        <v>752</v>
      </c>
      <c r="D66" s="15">
        <f t="shared" si="1"/>
        <v>4419</v>
      </c>
      <c r="E66" s="16" t="s">
        <v>745</v>
      </c>
      <c r="F66" s="14" t="s">
        <v>356</v>
      </c>
      <c r="G66" s="15" t="s">
        <v>353</v>
      </c>
      <c r="H66" s="7">
        <v>4</v>
      </c>
      <c r="I66" s="7">
        <v>19</v>
      </c>
    </row>
    <row r="67" spans="1:9" ht="20.100000000000001" customHeight="1" x14ac:dyDescent="0.2">
      <c r="A67" s="49"/>
      <c r="B67" s="14">
        <v>24</v>
      </c>
      <c r="C67" s="15" t="s">
        <v>753</v>
      </c>
      <c r="D67" s="15">
        <f t="shared" si="1"/>
        <v>4420</v>
      </c>
      <c r="E67" s="16" t="s">
        <v>746</v>
      </c>
      <c r="F67" s="14" t="s">
        <v>356</v>
      </c>
      <c r="G67" s="15" t="s">
        <v>354</v>
      </c>
      <c r="H67" s="7">
        <v>5</v>
      </c>
      <c r="I67" s="7">
        <v>20</v>
      </c>
    </row>
    <row r="68" spans="1:9" ht="20.100000000000001" customHeight="1" x14ac:dyDescent="0.2">
      <c r="A68" s="49"/>
      <c r="B68" s="14">
        <v>25</v>
      </c>
      <c r="C68" s="15" t="s">
        <v>754</v>
      </c>
      <c r="D68" s="15">
        <f t="shared" si="1"/>
        <v>4421</v>
      </c>
      <c r="E68" s="16" t="s">
        <v>750</v>
      </c>
      <c r="F68" s="14" t="s">
        <v>356</v>
      </c>
      <c r="G68" s="15" t="s">
        <v>751</v>
      </c>
      <c r="H68" s="7">
        <v>6</v>
      </c>
      <c r="I68" s="7">
        <v>21</v>
      </c>
    </row>
    <row r="69" spans="1:9" ht="20.100000000000001" customHeight="1" x14ac:dyDescent="0.2">
      <c r="A69" s="49"/>
      <c r="B69" s="14">
        <v>26</v>
      </c>
      <c r="C69" s="15" t="s">
        <v>755</v>
      </c>
      <c r="D69" s="15">
        <f t="shared" ref="D69:D70" si="2">4097+300+B69-1</f>
        <v>4422</v>
      </c>
      <c r="E69" s="16" t="s">
        <v>1315</v>
      </c>
      <c r="F69" s="14" t="s">
        <v>356</v>
      </c>
      <c r="G69" s="29"/>
      <c r="H69" s="7">
        <v>43</v>
      </c>
      <c r="I69" s="7">
        <v>22</v>
      </c>
    </row>
    <row r="70" spans="1:9" ht="20.100000000000001" customHeight="1" x14ac:dyDescent="0.2">
      <c r="A70" s="49"/>
      <c r="B70" s="14">
        <v>27</v>
      </c>
      <c r="C70" s="15" t="s">
        <v>756</v>
      </c>
      <c r="D70" s="15">
        <f t="shared" si="2"/>
        <v>4423</v>
      </c>
      <c r="E70" s="16" t="s">
        <v>1316</v>
      </c>
      <c r="F70" s="14" t="s">
        <v>356</v>
      </c>
      <c r="G70" s="29"/>
      <c r="H70" s="7">
        <v>44</v>
      </c>
      <c r="I70" s="7">
        <v>23</v>
      </c>
    </row>
    <row r="71" spans="1:9" ht="20.100000000000001" customHeight="1" x14ac:dyDescent="0.2">
      <c r="A71" s="49"/>
      <c r="B71" s="14">
        <v>28</v>
      </c>
      <c r="C71" s="15" t="s">
        <v>757</v>
      </c>
      <c r="D71" s="15">
        <f t="shared" si="1"/>
        <v>4424</v>
      </c>
      <c r="E71" s="16" t="s">
        <v>227</v>
      </c>
      <c r="F71" s="14" t="s">
        <v>356</v>
      </c>
      <c r="G71" s="15" t="s">
        <v>337</v>
      </c>
      <c r="H71" s="7">
        <v>7</v>
      </c>
      <c r="I71" s="7">
        <v>24</v>
      </c>
    </row>
    <row r="72" spans="1:9" ht="20.100000000000001" customHeight="1" x14ac:dyDescent="0.2">
      <c r="A72" s="49"/>
      <c r="B72" s="14">
        <v>29</v>
      </c>
      <c r="C72" s="15" t="s">
        <v>758</v>
      </c>
      <c r="D72" s="15">
        <f t="shared" si="1"/>
        <v>4425</v>
      </c>
      <c r="E72" s="16" t="s">
        <v>228</v>
      </c>
      <c r="F72" s="14" t="s">
        <v>356</v>
      </c>
      <c r="G72" s="15" t="s">
        <v>338</v>
      </c>
      <c r="H72" s="7">
        <v>8</v>
      </c>
      <c r="I72" s="7">
        <v>25</v>
      </c>
    </row>
    <row r="73" spans="1:9" ht="20.100000000000001" customHeight="1" x14ac:dyDescent="0.2">
      <c r="A73" s="49"/>
      <c r="B73" s="14">
        <v>30</v>
      </c>
      <c r="C73" s="15" t="s">
        <v>759</v>
      </c>
      <c r="D73" s="15">
        <f t="shared" si="1"/>
        <v>4426</v>
      </c>
      <c r="E73" s="16" t="s">
        <v>229</v>
      </c>
      <c r="F73" s="14" t="s">
        <v>356</v>
      </c>
      <c r="G73" s="15" t="s">
        <v>339</v>
      </c>
      <c r="H73" s="7">
        <v>9</v>
      </c>
      <c r="I73" s="7">
        <v>26</v>
      </c>
    </row>
    <row r="74" spans="1:9" ht="20.100000000000001" customHeight="1" x14ac:dyDescent="0.2">
      <c r="A74" s="49"/>
      <c r="B74" s="14">
        <v>31</v>
      </c>
      <c r="C74" s="15" t="s">
        <v>760</v>
      </c>
      <c r="D74" s="15">
        <f t="shared" si="1"/>
        <v>4427</v>
      </c>
      <c r="E74" s="16" t="s">
        <v>230</v>
      </c>
      <c r="F74" s="14" t="s">
        <v>356</v>
      </c>
      <c r="G74" s="15" t="s">
        <v>340</v>
      </c>
      <c r="H74" s="7">
        <v>10</v>
      </c>
      <c r="I74" s="7">
        <v>27</v>
      </c>
    </row>
    <row r="75" spans="1:9" ht="20.100000000000001" customHeight="1" x14ac:dyDescent="0.2">
      <c r="A75" s="49"/>
      <c r="B75" s="14">
        <v>32</v>
      </c>
      <c r="C75" s="15" t="s">
        <v>761</v>
      </c>
      <c r="D75" s="15">
        <f t="shared" si="1"/>
        <v>4428</v>
      </c>
      <c r="E75" s="16" t="s">
        <v>231</v>
      </c>
      <c r="F75" s="14" t="s">
        <v>356</v>
      </c>
      <c r="G75" s="15" t="s">
        <v>341</v>
      </c>
      <c r="H75" s="7">
        <v>11</v>
      </c>
      <c r="I75" s="7">
        <v>28</v>
      </c>
    </row>
    <row r="76" spans="1:9" ht="20.100000000000001" customHeight="1" x14ac:dyDescent="0.2">
      <c r="A76" s="49"/>
      <c r="B76" s="14">
        <v>33</v>
      </c>
      <c r="C76" s="15" t="s">
        <v>762</v>
      </c>
      <c r="D76" s="15">
        <f t="shared" si="1"/>
        <v>4429</v>
      </c>
      <c r="E76" s="16" t="s">
        <v>232</v>
      </c>
      <c r="F76" s="14" t="s">
        <v>356</v>
      </c>
      <c r="G76" s="15" t="s">
        <v>342</v>
      </c>
      <c r="H76" s="7">
        <v>12</v>
      </c>
      <c r="I76" s="7">
        <v>29</v>
      </c>
    </row>
    <row r="77" spans="1:9" ht="20.100000000000001" customHeight="1" x14ac:dyDescent="0.2">
      <c r="A77" s="49"/>
      <c r="B77" s="14">
        <v>34</v>
      </c>
      <c r="C77" s="15" t="s">
        <v>763</v>
      </c>
      <c r="D77" s="15">
        <f t="shared" si="1"/>
        <v>4430</v>
      </c>
      <c r="E77" s="16" t="s">
        <v>233</v>
      </c>
      <c r="F77" s="14" t="s">
        <v>356</v>
      </c>
      <c r="G77" s="15" t="s">
        <v>343</v>
      </c>
      <c r="H77" s="7">
        <v>13</v>
      </c>
      <c r="I77" s="7">
        <v>30</v>
      </c>
    </row>
    <row r="78" spans="1:9" ht="20.100000000000001" customHeight="1" x14ac:dyDescent="0.2">
      <c r="A78" s="49"/>
      <c r="B78" s="14">
        <v>35</v>
      </c>
      <c r="C78" s="15" t="s">
        <v>764</v>
      </c>
      <c r="D78" s="15">
        <f t="shared" si="1"/>
        <v>4431</v>
      </c>
      <c r="E78" s="16" t="s">
        <v>234</v>
      </c>
      <c r="F78" s="14" t="s">
        <v>356</v>
      </c>
      <c r="G78" s="15" t="s">
        <v>344</v>
      </c>
      <c r="H78" s="7">
        <v>14</v>
      </c>
      <c r="I78" s="7">
        <v>31</v>
      </c>
    </row>
    <row r="79" spans="1:9" ht="20.100000000000001" customHeight="1" x14ac:dyDescent="0.2">
      <c r="A79" s="49"/>
      <c r="B79" s="14">
        <v>36</v>
      </c>
      <c r="C79" s="15" t="s">
        <v>765</v>
      </c>
      <c r="D79" s="15">
        <f t="shared" si="1"/>
        <v>4432</v>
      </c>
      <c r="E79" s="16" t="s">
        <v>235</v>
      </c>
      <c r="F79" s="14" t="s">
        <v>356</v>
      </c>
      <c r="G79" s="15" t="s">
        <v>345</v>
      </c>
      <c r="H79" s="7">
        <v>15</v>
      </c>
      <c r="I79" s="7">
        <v>32</v>
      </c>
    </row>
    <row r="80" spans="1:9" ht="20.100000000000001" customHeight="1" x14ac:dyDescent="0.2">
      <c r="A80" s="49"/>
      <c r="B80" s="14">
        <v>37</v>
      </c>
      <c r="C80" s="15" t="s">
        <v>766</v>
      </c>
      <c r="D80" s="15">
        <f t="shared" si="1"/>
        <v>4433</v>
      </c>
      <c r="E80" s="16" t="s">
        <v>236</v>
      </c>
      <c r="F80" s="14" t="s">
        <v>356</v>
      </c>
      <c r="G80" s="15" t="s">
        <v>346</v>
      </c>
      <c r="H80" s="7">
        <v>16</v>
      </c>
      <c r="I80" s="7">
        <v>33</v>
      </c>
    </row>
    <row r="81" spans="1:9" ht="20.100000000000001" customHeight="1" x14ac:dyDescent="0.2">
      <c r="A81" s="49"/>
      <c r="B81" s="14">
        <v>38</v>
      </c>
      <c r="C81" s="15" t="s">
        <v>1357</v>
      </c>
      <c r="D81" s="15">
        <f t="shared" si="1"/>
        <v>4434</v>
      </c>
      <c r="E81" s="16" t="s">
        <v>237</v>
      </c>
      <c r="F81" s="14" t="s">
        <v>356</v>
      </c>
      <c r="G81" s="15" t="s">
        <v>347</v>
      </c>
      <c r="H81" s="7">
        <v>17</v>
      </c>
      <c r="I81" s="7">
        <v>34</v>
      </c>
    </row>
    <row r="82" spans="1:9" ht="20.100000000000001" customHeight="1" x14ac:dyDescent="0.2">
      <c r="A82" s="49"/>
      <c r="B82" s="14">
        <v>39</v>
      </c>
      <c r="C82" s="15" t="s">
        <v>1358</v>
      </c>
      <c r="D82" s="15">
        <f t="shared" si="1"/>
        <v>4435</v>
      </c>
      <c r="E82" s="16" t="s">
        <v>238</v>
      </c>
      <c r="F82" s="14" t="s">
        <v>356</v>
      </c>
      <c r="G82" s="15" t="s">
        <v>348</v>
      </c>
      <c r="H82" s="7">
        <v>18</v>
      </c>
      <c r="I82" s="7">
        <v>35</v>
      </c>
    </row>
    <row r="83" spans="1:9" ht="20.100000000000001" customHeight="1" x14ac:dyDescent="0.2">
      <c r="A83" s="49"/>
      <c r="B83" s="14">
        <v>40</v>
      </c>
      <c r="C83" s="15" t="s">
        <v>1359</v>
      </c>
      <c r="D83" s="15">
        <f t="shared" si="1"/>
        <v>4436</v>
      </c>
      <c r="E83" s="16" t="s">
        <v>1164</v>
      </c>
      <c r="F83" s="14" t="s">
        <v>356</v>
      </c>
      <c r="G83" s="29"/>
      <c r="H83" s="7">
        <v>19</v>
      </c>
      <c r="I83" s="7">
        <v>36</v>
      </c>
    </row>
    <row r="84" spans="1:9" ht="20.100000000000001" customHeight="1" x14ac:dyDescent="0.2">
      <c r="A84" s="49"/>
      <c r="B84" s="14">
        <v>41</v>
      </c>
      <c r="C84" s="15" t="s">
        <v>1360</v>
      </c>
      <c r="D84" s="15">
        <f t="shared" si="1"/>
        <v>4437</v>
      </c>
      <c r="E84" s="16" t="s">
        <v>1165</v>
      </c>
      <c r="F84" s="14" t="s">
        <v>356</v>
      </c>
      <c r="G84" s="29"/>
      <c r="H84" s="7">
        <v>20</v>
      </c>
      <c r="I84" s="7">
        <v>37</v>
      </c>
    </row>
    <row r="85" spans="1:9" ht="20.100000000000001" customHeight="1" x14ac:dyDescent="0.2">
      <c r="A85" s="49"/>
      <c r="B85" s="14">
        <v>42</v>
      </c>
      <c r="C85" s="15" t="s">
        <v>1361</v>
      </c>
      <c r="D85" s="15">
        <f t="shared" si="1"/>
        <v>4438</v>
      </c>
      <c r="E85" s="16" t="s">
        <v>1166</v>
      </c>
      <c r="F85" s="14" t="s">
        <v>356</v>
      </c>
      <c r="G85" s="29"/>
      <c r="H85" s="7">
        <v>21</v>
      </c>
      <c r="I85" s="7">
        <v>38</v>
      </c>
    </row>
    <row r="86" spans="1:9" ht="20.100000000000001" customHeight="1" x14ac:dyDescent="0.2">
      <c r="A86" s="49"/>
      <c r="B86" s="14">
        <v>43</v>
      </c>
      <c r="C86" s="15" t="s">
        <v>1362</v>
      </c>
      <c r="D86" s="15">
        <f t="shared" si="1"/>
        <v>4439</v>
      </c>
      <c r="E86" s="16" t="s">
        <v>1167</v>
      </c>
      <c r="F86" s="14" t="s">
        <v>356</v>
      </c>
      <c r="G86" s="29"/>
      <c r="H86" s="7">
        <v>22</v>
      </c>
      <c r="I86" s="7">
        <v>39</v>
      </c>
    </row>
    <row r="87" spans="1:9" ht="20.100000000000001" customHeight="1" x14ac:dyDescent="0.2">
      <c r="A87" s="49"/>
      <c r="B87" s="14">
        <v>44</v>
      </c>
      <c r="C87" s="15" t="s">
        <v>1363</v>
      </c>
      <c r="D87" s="15">
        <f t="shared" si="1"/>
        <v>4440</v>
      </c>
      <c r="E87" s="16" t="s">
        <v>1168</v>
      </c>
      <c r="F87" s="14" t="s">
        <v>356</v>
      </c>
      <c r="G87" s="29"/>
      <c r="H87" s="7">
        <v>23</v>
      </c>
      <c r="I87" s="7">
        <v>40</v>
      </c>
    </row>
    <row r="88" spans="1:9" ht="20.100000000000001" customHeight="1" x14ac:dyDescent="0.2">
      <c r="A88" s="49"/>
      <c r="B88" s="14">
        <v>45</v>
      </c>
      <c r="C88" s="15" t="s">
        <v>1364</v>
      </c>
      <c r="D88" s="15">
        <f t="shared" si="1"/>
        <v>4441</v>
      </c>
      <c r="E88" s="16" t="s">
        <v>1169</v>
      </c>
      <c r="F88" s="14" t="s">
        <v>356</v>
      </c>
      <c r="G88" s="29"/>
      <c r="H88" s="7">
        <v>24</v>
      </c>
      <c r="I88" s="7">
        <v>41</v>
      </c>
    </row>
    <row r="89" spans="1:9" ht="20.100000000000001" customHeight="1" x14ac:dyDescent="0.2">
      <c r="A89" s="49"/>
      <c r="B89" s="14">
        <v>46</v>
      </c>
      <c r="C89" s="15" t="s">
        <v>1365</v>
      </c>
      <c r="D89" s="15">
        <f t="shared" si="1"/>
        <v>4442</v>
      </c>
      <c r="E89" s="16" t="s">
        <v>1170</v>
      </c>
      <c r="F89" s="14" t="s">
        <v>356</v>
      </c>
      <c r="G89" s="29"/>
      <c r="H89" s="7">
        <v>25</v>
      </c>
      <c r="I89" s="7">
        <v>42</v>
      </c>
    </row>
    <row r="90" spans="1:9" ht="20.100000000000001" customHeight="1" x14ac:dyDescent="0.2">
      <c r="A90" s="49"/>
      <c r="B90" s="14">
        <v>47</v>
      </c>
      <c r="C90" s="15" t="s">
        <v>1366</v>
      </c>
      <c r="D90" s="15">
        <f t="shared" si="1"/>
        <v>4443</v>
      </c>
      <c r="E90" s="16" t="s">
        <v>1171</v>
      </c>
      <c r="F90" s="14" t="s">
        <v>356</v>
      </c>
      <c r="G90" s="29"/>
      <c r="H90" s="7">
        <v>26</v>
      </c>
      <c r="I90" s="7">
        <v>43</v>
      </c>
    </row>
    <row r="91" spans="1:9" ht="20.100000000000001" customHeight="1" x14ac:dyDescent="0.2">
      <c r="A91" s="49"/>
      <c r="B91" s="14">
        <v>48</v>
      </c>
      <c r="C91" s="15" t="s">
        <v>1367</v>
      </c>
      <c r="D91" s="15">
        <f t="shared" si="1"/>
        <v>4444</v>
      </c>
      <c r="E91" s="16" t="s">
        <v>1172</v>
      </c>
      <c r="F91" s="14" t="s">
        <v>356</v>
      </c>
      <c r="G91" s="29"/>
      <c r="H91" s="7">
        <v>27</v>
      </c>
      <c r="I91" s="7">
        <v>44</v>
      </c>
    </row>
    <row r="92" spans="1:9" ht="20.100000000000001" customHeight="1" x14ac:dyDescent="0.2">
      <c r="A92" s="49"/>
      <c r="B92" s="14">
        <v>49</v>
      </c>
      <c r="C92" s="15" t="s">
        <v>1368</v>
      </c>
      <c r="D92" s="15">
        <f t="shared" si="1"/>
        <v>4445</v>
      </c>
      <c r="E92" s="16" t="s">
        <v>1173</v>
      </c>
      <c r="F92" s="14" t="s">
        <v>356</v>
      </c>
      <c r="G92" s="29"/>
      <c r="H92" s="7">
        <v>28</v>
      </c>
      <c r="I92" s="7">
        <v>45</v>
      </c>
    </row>
    <row r="93" spans="1:9" ht="20.100000000000001" customHeight="1" x14ac:dyDescent="0.2">
      <c r="A93" s="49"/>
      <c r="B93" s="14">
        <v>50</v>
      </c>
      <c r="C93" s="15" t="s">
        <v>1369</v>
      </c>
      <c r="D93" s="15">
        <f t="shared" si="1"/>
        <v>4446</v>
      </c>
      <c r="E93" s="16" t="s">
        <v>1174</v>
      </c>
      <c r="F93" s="14" t="s">
        <v>356</v>
      </c>
      <c r="G93" s="29"/>
      <c r="H93" s="7">
        <v>29</v>
      </c>
      <c r="I93" s="7">
        <v>46</v>
      </c>
    </row>
    <row r="94" spans="1:9" ht="20.100000000000001" customHeight="1" x14ac:dyDescent="0.2">
      <c r="A94" s="49"/>
      <c r="B94" s="14">
        <v>51</v>
      </c>
      <c r="C94" s="15" t="s">
        <v>1370</v>
      </c>
      <c r="D94" s="15">
        <f t="shared" si="1"/>
        <v>4447</v>
      </c>
      <c r="E94" s="16" t="s">
        <v>1175</v>
      </c>
      <c r="F94" s="14" t="s">
        <v>356</v>
      </c>
      <c r="G94" s="29"/>
      <c r="H94" s="7">
        <v>30</v>
      </c>
      <c r="I94" s="7">
        <v>47</v>
      </c>
    </row>
    <row r="95" spans="1:9" ht="20.100000000000001" customHeight="1" x14ac:dyDescent="0.2">
      <c r="A95" s="49"/>
      <c r="B95" s="14">
        <v>52</v>
      </c>
      <c r="C95" s="15" t="s">
        <v>1371</v>
      </c>
      <c r="D95" s="15">
        <f t="shared" si="1"/>
        <v>4448</v>
      </c>
      <c r="E95" s="16" t="s">
        <v>1176</v>
      </c>
      <c r="F95" s="14" t="s">
        <v>356</v>
      </c>
      <c r="G95" s="29"/>
      <c r="H95" s="7">
        <v>31</v>
      </c>
      <c r="I95" s="7">
        <v>48</v>
      </c>
    </row>
    <row r="96" spans="1:9" ht="20.100000000000001" customHeight="1" x14ac:dyDescent="0.2">
      <c r="A96" s="49"/>
      <c r="B96" s="14">
        <v>53</v>
      </c>
      <c r="C96" s="15" t="s">
        <v>1372</v>
      </c>
      <c r="D96" s="15">
        <f t="shared" si="1"/>
        <v>4449</v>
      </c>
      <c r="E96" s="16" t="s">
        <v>1177</v>
      </c>
      <c r="F96" s="14" t="s">
        <v>356</v>
      </c>
      <c r="G96" s="29"/>
      <c r="H96" s="7">
        <v>32</v>
      </c>
      <c r="I96" s="7">
        <v>49</v>
      </c>
    </row>
    <row r="97" spans="1:9" ht="20.100000000000001" customHeight="1" x14ac:dyDescent="0.2">
      <c r="A97" s="49"/>
      <c r="B97" s="14">
        <v>54</v>
      </c>
      <c r="C97" s="15" t="s">
        <v>1373</v>
      </c>
      <c r="D97" s="15">
        <f t="shared" si="1"/>
        <v>4450</v>
      </c>
      <c r="E97" s="16" t="s">
        <v>1178</v>
      </c>
      <c r="F97" s="14" t="s">
        <v>356</v>
      </c>
      <c r="G97" s="29"/>
      <c r="H97" s="7">
        <v>33</v>
      </c>
      <c r="I97" s="7">
        <v>50</v>
      </c>
    </row>
    <row r="98" spans="1:9" ht="20.100000000000001" customHeight="1" x14ac:dyDescent="0.2">
      <c r="A98" s="49"/>
      <c r="B98" s="14">
        <v>55</v>
      </c>
      <c r="C98" s="15" t="s">
        <v>1374</v>
      </c>
      <c r="D98" s="15">
        <f t="shared" si="1"/>
        <v>4451</v>
      </c>
      <c r="E98" s="16" t="s">
        <v>1179</v>
      </c>
      <c r="F98" s="14" t="s">
        <v>356</v>
      </c>
      <c r="G98" s="29"/>
      <c r="H98" s="7">
        <v>34</v>
      </c>
      <c r="I98" s="7">
        <v>51</v>
      </c>
    </row>
    <row r="99" spans="1:9" ht="20.100000000000001" customHeight="1" x14ac:dyDescent="0.2">
      <c r="A99" s="49"/>
      <c r="B99" s="14">
        <v>56</v>
      </c>
      <c r="C99" s="15" t="s">
        <v>1375</v>
      </c>
      <c r="D99" s="15">
        <f t="shared" si="1"/>
        <v>4452</v>
      </c>
      <c r="E99" s="16" t="s">
        <v>1180</v>
      </c>
      <c r="F99" s="14" t="s">
        <v>356</v>
      </c>
      <c r="G99" s="29"/>
      <c r="H99" s="7">
        <v>35</v>
      </c>
      <c r="I99" s="7">
        <v>52</v>
      </c>
    </row>
    <row r="100" spans="1:9" ht="20.100000000000001" customHeight="1" x14ac:dyDescent="0.2">
      <c r="A100" s="49"/>
      <c r="B100" s="14">
        <v>57</v>
      </c>
      <c r="C100" s="15" t="s">
        <v>1376</v>
      </c>
      <c r="D100" s="15">
        <f t="shared" si="1"/>
        <v>4453</v>
      </c>
      <c r="E100" s="16" t="s">
        <v>1181</v>
      </c>
      <c r="F100" s="14" t="s">
        <v>356</v>
      </c>
      <c r="G100" s="29"/>
      <c r="H100" s="7">
        <v>36</v>
      </c>
      <c r="I100" s="7">
        <v>53</v>
      </c>
    </row>
    <row r="101" spans="1:9" ht="20.100000000000001" customHeight="1" x14ac:dyDescent="0.2">
      <c r="A101" s="49"/>
      <c r="B101" s="14">
        <v>58</v>
      </c>
      <c r="C101" s="15" t="s">
        <v>1377</v>
      </c>
      <c r="D101" s="15">
        <f t="shared" si="1"/>
        <v>4454</v>
      </c>
      <c r="E101" s="16" t="s">
        <v>1182</v>
      </c>
      <c r="F101" s="14" t="s">
        <v>356</v>
      </c>
      <c r="G101" s="29"/>
      <c r="H101" s="7">
        <v>37</v>
      </c>
      <c r="I101" s="7">
        <v>54</v>
      </c>
    </row>
    <row r="102" spans="1:9" ht="20.100000000000001" customHeight="1" x14ac:dyDescent="0.2">
      <c r="A102" s="49"/>
      <c r="B102" s="14">
        <v>59</v>
      </c>
      <c r="C102" s="15" t="s">
        <v>1378</v>
      </c>
      <c r="D102" s="15">
        <f t="shared" si="1"/>
        <v>4455</v>
      </c>
      <c r="E102" s="16" t="s">
        <v>1183</v>
      </c>
      <c r="F102" s="14" t="s">
        <v>356</v>
      </c>
      <c r="G102" s="29"/>
      <c r="H102" s="7">
        <v>38</v>
      </c>
      <c r="I102" s="7">
        <v>55</v>
      </c>
    </row>
    <row r="103" spans="1:9" ht="20.100000000000001" customHeight="1" x14ac:dyDescent="0.2">
      <c r="A103" s="49"/>
      <c r="B103" s="14">
        <v>60</v>
      </c>
      <c r="C103" s="15" t="s">
        <v>1379</v>
      </c>
      <c r="D103" s="15">
        <f t="shared" si="1"/>
        <v>4456</v>
      </c>
      <c r="E103" s="16" t="s">
        <v>1184</v>
      </c>
      <c r="F103" s="14" t="s">
        <v>356</v>
      </c>
      <c r="G103" s="29"/>
      <c r="H103" s="7">
        <v>39</v>
      </c>
      <c r="I103" s="7">
        <v>56</v>
      </c>
    </row>
    <row r="104" spans="1:9" ht="20.100000000000001" customHeight="1" x14ac:dyDescent="0.2">
      <c r="A104" s="49"/>
      <c r="B104" s="14">
        <v>61</v>
      </c>
      <c r="C104" s="15" t="s">
        <v>1380</v>
      </c>
      <c r="D104" s="15">
        <f t="shared" si="1"/>
        <v>4457</v>
      </c>
      <c r="E104" s="16" t="s">
        <v>1185</v>
      </c>
      <c r="F104" s="14" t="s">
        <v>356</v>
      </c>
      <c r="G104" s="29"/>
      <c r="H104" s="7">
        <v>40</v>
      </c>
      <c r="I104" s="7">
        <v>57</v>
      </c>
    </row>
    <row r="105" spans="1:9" ht="20.100000000000001" customHeight="1" x14ac:dyDescent="0.2">
      <c r="A105" s="49"/>
      <c r="B105" s="14">
        <v>62</v>
      </c>
      <c r="C105" s="15" t="s">
        <v>1381</v>
      </c>
      <c r="D105" s="15">
        <f t="shared" si="1"/>
        <v>4458</v>
      </c>
      <c r="E105" s="16" t="s">
        <v>1186</v>
      </c>
      <c r="F105" s="14" t="s">
        <v>356</v>
      </c>
      <c r="G105" s="29"/>
      <c r="H105" s="7">
        <v>41</v>
      </c>
      <c r="I105" s="7">
        <v>58</v>
      </c>
    </row>
    <row r="106" spans="1:9" ht="20.100000000000001" customHeight="1" x14ac:dyDescent="0.2">
      <c r="A106" s="49"/>
      <c r="B106" s="14">
        <v>63</v>
      </c>
      <c r="C106" s="15" t="s">
        <v>1382</v>
      </c>
      <c r="D106" s="15">
        <f t="shared" si="1"/>
        <v>4459</v>
      </c>
      <c r="E106" s="16" t="s">
        <v>1187</v>
      </c>
      <c r="F106" s="14" t="s">
        <v>356</v>
      </c>
      <c r="G106" s="29"/>
      <c r="H106" s="7">
        <v>42</v>
      </c>
      <c r="I106" s="7">
        <v>59</v>
      </c>
    </row>
    <row r="107" spans="1:9" ht="20.100000000000001" customHeight="1" x14ac:dyDescent="0.2">
      <c r="A107" s="44" t="s">
        <v>994</v>
      </c>
      <c r="B107" s="2">
        <v>0</v>
      </c>
      <c r="C107" s="1" t="s">
        <v>442</v>
      </c>
      <c r="D107" s="1"/>
      <c r="E107" s="12" t="s">
        <v>947</v>
      </c>
      <c r="F107" s="2" t="s">
        <v>550</v>
      </c>
    </row>
    <row r="108" spans="1:9" ht="20.100000000000001" customHeight="1" x14ac:dyDescent="0.2">
      <c r="A108" s="44"/>
      <c r="B108" s="2">
        <v>1</v>
      </c>
      <c r="C108" s="1" t="s">
        <v>443</v>
      </c>
      <c r="D108" s="1"/>
      <c r="E108" s="12" t="s">
        <v>948</v>
      </c>
      <c r="F108" s="2" t="s">
        <v>550</v>
      </c>
    </row>
    <row r="109" spans="1:9" ht="20.100000000000001" customHeight="1" x14ac:dyDescent="0.2">
      <c r="A109" s="44"/>
      <c r="B109" s="2">
        <v>2</v>
      </c>
      <c r="C109" s="1" t="s">
        <v>444</v>
      </c>
      <c r="D109" s="1"/>
      <c r="E109" s="12" t="s">
        <v>949</v>
      </c>
      <c r="F109" s="2" t="s">
        <v>550</v>
      </c>
    </row>
    <row r="110" spans="1:9" ht="20.100000000000001" customHeight="1" x14ac:dyDescent="0.2">
      <c r="A110" s="44"/>
      <c r="B110" s="2">
        <v>3</v>
      </c>
      <c r="C110" s="1" t="s">
        <v>445</v>
      </c>
      <c r="D110" s="1"/>
      <c r="E110" s="12" t="s">
        <v>950</v>
      </c>
      <c r="F110" s="2" t="s">
        <v>550</v>
      </c>
    </row>
    <row r="111" spans="1:9" ht="20.100000000000001" customHeight="1" x14ac:dyDescent="0.2">
      <c r="A111" s="44"/>
      <c r="B111" s="2">
        <v>4</v>
      </c>
      <c r="C111" s="1" t="s">
        <v>446</v>
      </c>
      <c r="D111" s="1"/>
      <c r="E111" s="12" t="s">
        <v>951</v>
      </c>
      <c r="F111" s="2" t="s">
        <v>550</v>
      </c>
    </row>
    <row r="112" spans="1:9" ht="20.100000000000001" customHeight="1" x14ac:dyDescent="0.2">
      <c r="A112" s="44"/>
      <c r="B112" s="2">
        <v>5</v>
      </c>
      <c r="C112" s="1" t="s">
        <v>447</v>
      </c>
      <c r="D112" s="1"/>
      <c r="E112" s="12" t="s">
        <v>952</v>
      </c>
      <c r="F112" s="2" t="s">
        <v>550</v>
      </c>
    </row>
    <row r="113" spans="1:6" ht="20.100000000000001" customHeight="1" x14ac:dyDescent="0.2">
      <c r="A113" s="44"/>
      <c r="B113" s="2">
        <v>6</v>
      </c>
      <c r="C113" s="1" t="s">
        <v>454</v>
      </c>
      <c r="D113" s="1"/>
      <c r="E113" s="12" t="s">
        <v>953</v>
      </c>
      <c r="F113" s="2" t="s">
        <v>551</v>
      </c>
    </row>
    <row r="114" spans="1:6" ht="20.100000000000001" customHeight="1" x14ac:dyDescent="0.2">
      <c r="A114" s="44"/>
      <c r="B114" s="2">
        <v>7</v>
      </c>
      <c r="C114" s="1" t="s">
        <v>455</v>
      </c>
      <c r="D114" s="1"/>
      <c r="E114" s="12" t="s">
        <v>954</v>
      </c>
      <c r="F114" s="2" t="s">
        <v>551</v>
      </c>
    </row>
    <row r="115" spans="1:6" ht="20.100000000000001" customHeight="1" x14ac:dyDescent="0.2">
      <c r="A115" s="44"/>
      <c r="B115" s="2">
        <v>8</v>
      </c>
      <c r="C115" s="1" t="s">
        <v>456</v>
      </c>
      <c r="D115" s="1"/>
      <c r="E115" s="12" t="s">
        <v>955</v>
      </c>
      <c r="F115" s="2" t="s">
        <v>551</v>
      </c>
    </row>
    <row r="116" spans="1:6" ht="20.100000000000001" customHeight="1" x14ac:dyDescent="0.2">
      <c r="A116" s="44"/>
      <c r="B116" s="2">
        <v>9</v>
      </c>
      <c r="C116" s="1" t="s">
        <v>457</v>
      </c>
      <c r="D116" s="1"/>
      <c r="E116" s="12" t="s">
        <v>956</v>
      </c>
      <c r="F116" s="2" t="s">
        <v>551</v>
      </c>
    </row>
    <row r="117" spans="1:6" ht="20.100000000000001" customHeight="1" x14ac:dyDescent="0.2">
      <c r="A117" s="44"/>
      <c r="B117" s="2">
        <v>10</v>
      </c>
      <c r="C117" s="1" t="s">
        <v>458</v>
      </c>
      <c r="D117" s="1"/>
      <c r="E117" s="12" t="s">
        <v>957</v>
      </c>
      <c r="F117" s="2" t="s">
        <v>551</v>
      </c>
    </row>
    <row r="118" spans="1:6" ht="20.100000000000001" customHeight="1" x14ac:dyDescent="0.2">
      <c r="A118" s="44"/>
      <c r="B118" s="2">
        <v>11</v>
      </c>
      <c r="C118" s="1" t="s">
        <v>459</v>
      </c>
      <c r="D118" s="1"/>
      <c r="E118" s="12" t="s">
        <v>958</v>
      </c>
      <c r="F118" s="2" t="s">
        <v>551</v>
      </c>
    </row>
    <row r="119" spans="1:6" ht="58.5" customHeight="1" x14ac:dyDescent="0.2">
      <c r="A119" s="2" t="s">
        <v>19</v>
      </c>
      <c r="B119" s="2">
        <v>0</v>
      </c>
      <c r="C119" s="1" t="s">
        <v>170</v>
      </c>
      <c r="D119" s="1"/>
      <c r="E119" s="3" t="s">
        <v>1059</v>
      </c>
      <c r="F119" s="2"/>
    </row>
    <row r="120" spans="1:6" ht="20.100000000000001" customHeight="1" x14ac:dyDescent="0.2">
      <c r="A120" s="2" t="s">
        <v>300</v>
      </c>
      <c r="B120" s="2">
        <v>1</v>
      </c>
      <c r="C120" s="1" t="s">
        <v>171</v>
      </c>
      <c r="D120" s="1"/>
      <c r="E120" s="12"/>
      <c r="F120" s="2"/>
    </row>
    <row r="121" spans="1:6" ht="105.75" customHeight="1" x14ac:dyDescent="0.2">
      <c r="A121" s="2" t="s">
        <v>959</v>
      </c>
      <c r="B121" s="2">
        <v>0</v>
      </c>
      <c r="C121" s="1" t="s">
        <v>872</v>
      </c>
      <c r="D121" s="1"/>
      <c r="E121" s="17" t="s">
        <v>964</v>
      </c>
      <c r="F121" s="2"/>
    </row>
    <row r="122" spans="1:6" ht="20.100000000000001" customHeight="1" x14ac:dyDescent="0.2">
      <c r="A122" s="44" t="s">
        <v>962</v>
      </c>
      <c r="B122" s="2">
        <v>0</v>
      </c>
      <c r="C122" s="1" t="s">
        <v>963</v>
      </c>
      <c r="D122" s="1"/>
      <c r="E122" s="12" t="s">
        <v>977</v>
      </c>
      <c r="F122" s="2"/>
    </row>
    <row r="123" spans="1:6" ht="20.100000000000001" customHeight="1" x14ac:dyDescent="0.2">
      <c r="A123" s="44"/>
      <c r="B123" s="2">
        <v>1</v>
      </c>
      <c r="C123" s="1" t="s">
        <v>965</v>
      </c>
      <c r="D123" s="1"/>
      <c r="E123" s="52" t="s">
        <v>978</v>
      </c>
      <c r="F123" s="2"/>
    </row>
    <row r="124" spans="1:6" ht="20.100000000000001" customHeight="1" x14ac:dyDescent="0.2">
      <c r="A124" s="44"/>
      <c r="B124" s="2">
        <v>2</v>
      </c>
      <c r="C124" s="1" t="s">
        <v>966</v>
      </c>
      <c r="D124" s="1"/>
      <c r="E124" s="52"/>
      <c r="F124" s="2"/>
    </row>
    <row r="125" spans="1:6" ht="20.100000000000001" customHeight="1" x14ac:dyDescent="0.2">
      <c r="A125" s="44"/>
      <c r="B125" s="2">
        <v>3</v>
      </c>
      <c r="C125" s="1" t="s">
        <v>967</v>
      </c>
      <c r="D125" s="1"/>
      <c r="E125" s="52" t="s">
        <v>979</v>
      </c>
      <c r="F125" s="2"/>
    </row>
    <row r="126" spans="1:6" ht="20.100000000000001" customHeight="1" x14ac:dyDescent="0.2">
      <c r="A126" s="44"/>
      <c r="B126" s="2">
        <v>4</v>
      </c>
      <c r="C126" s="1" t="s">
        <v>968</v>
      </c>
      <c r="D126" s="1"/>
      <c r="E126" s="52"/>
      <c r="F126" s="2"/>
    </row>
    <row r="127" spans="1:6" ht="20.100000000000001" customHeight="1" x14ac:dyDescent="0.2">
      <c r="A127" s="44"/>
      <c r="B127" s="2">
        <v>5</v>
      </c>
      <c r="C127" s="1" t="s">
        <v>969</v>
      </c>
      <c r="D127" s="1"/>
      <c r="E127" s="12" t="s">
        <v>980</v>
      </c>
      <c r="F127" s="2"/>
    </row>
    <row r="128" spans="1:6" ht="20.100000000000001" customHeight="1" x14ac:dyDescent="0.2">
      <c r="A128" s="44"/>
      <c r="B128" s="2">
        <v>6</v>
      </c>
      <c r="C128" s="1" t="s">
        <v>970</v>
      </c>
      <c r="D128" s="1"/>
      <c r="E128" s="12" t="s">
        <v>984</v>
      </c>
      <c r="F128" s="2"/>
    </row>
    <row r="129" spans="1:6" ht="20.100000000000001" customHeight="1" x14ac:dyDescent="0.2">
      <c r="A129" s="44"/>
      <c r="B129" s="2">
        <v>7</v>
      </c>
      <c r="C129" s="1" t="s">
        <v>971</v>
      </c>
      <c r="D129" s="1"/>
      <c r="E129" s="52" t="s">
        <v>981</v>
      </c>
      <c r="F129" s="2"/>
    </row>
    <row r="130" spans="1:6" ht="20.100000000000001" customHeight="1" x14ac:dyDescent="0.2">
      <c r="A130" s="44"/>
      <c r="B130" s="2">
        <v>8</v>
      </c>
      <c r="C130" s="1" t="s">
        <v>972</v>
      </c>
      <c r="D130" s="1"/>
      <c r="E130" s="52"/>
      <c r="F130" s="2"/>
    </row>
    <row r="131" spans="1:6" ht="20.100000000000001" customHeight="1" x14ac:dyDescent="0.2">
      <c r="A131" s="44"/>
      <c r="B131" s="2">
        <v>9</v>
      </c>
      <c r="C131" s="1" t="s">
        <v>973</v>
      </c>
      <c r="D131" s="1"/>
      <c r="E131" s="52" t="s">
        <v>982</v>
      </c>
      <c r="F131" s="2"/>
    </row>
    <row r="132" spans="1:6" ht="20.100000000000001" customHeight="1" x14ac:dyDescent="0.2">
      <c r="A132" s="44"/>
      <c r="B132" s="2">
        <v>10</v>
      </c>
      <c r="C132" s="1" t="s">
        <v>974</v>
      </c>
      <c r="D132" s="1"/>
      <c r="E132" s="52"/>
      <c r="F132" s="2"/>
    </row>
    <row r="133" spans="1:6" ht="20.100000000000001" customHeight="1" x14ac:dyDescent="0.2">
      <c r="A133" s="44"/>
      <c r="B133" s="2">
        <v>11</v>
      </c>
      <c r="C133" s="1" t="s">
        <v>975</v>
      </c>
      <c r="D133" s="1"/>
      <c r="E133" s="12" t="s">
        <v>983</v>
      </c>
      <c r="F133" s="2"/>
    </row>
    <row r="134" spans="1:6" ht="20.100000000000001" customHeight="1" x14ac:dyDescent="0.2">
      <c r="A134" s="44"/>
      <c r="B134" s="2">
        <v>12</v>
      </c>
      <c r="C134" s="1" t="s">
        <v>976</v>
      </c>
      <c r="D134" s="1"/>
      <c r="E134" s="17" t="s">
        <v>1026</v>
      </c>
      <c r="F134" s="2"/>
    </row>
    <row r="135" spans="1:6" ht="20.100000000000001" customHeight="1" x14ac:dyDescent="0.2">
      <c r="A135" s="50" t="s">
        <v>334</v>
      </c>
      <c r="B135" s="30">
        <v>0</v>
      </c>
      <c r="C135" s="31" t="s">
        <v>301</v>
      </c>
      <c r="D135" s="31"/>
      <c r="E135" s="32" t="s">
        <v>305</v>
      </c>
      <c r="F135" s="53" t="s">
        <v>1188</v>
      </c>
    </row>
    <row r="136" spans="1:6" ht="20.100000000000001" customHeight="1" x14ac:dyDescent="0.2">
      <c r="A136" s="50"/>
      <c r="B136" s="30">
        <v>1</v>
      </c>
      <c r="C136" s="31" t="s">
        <v>302</v>
      </c>
      <c r="D136" s="31"/>
      <c r="E136" s="32" t="s">
        <v>306</v>
      </c>
      <c r="F136" s="54"/>
    </row>
    <row r="137" spans="1:6" ht="20.100000000000001" customHeight="1" x14ac:dyDescent="0.2">
      <c r="A137" s="50"/>
      <c r="B137" s="30">
        <v>2</v>
      </c>
      <c r="C137" s="31" t="s">
        <v>303</v>
      </c>
      <c r="D137" s="31"/>
      <c r="E137" s="32" t="s">
        <v>307</v>
      </c>
      <c r="F137" s="54"/>
    </row>
    <row r="138" spans="1:6" ht="20.100000000000001" customHeight="1" x14ac:dyDescent="0.2">
      <c r="A138" s="50"/>
      <c r="B138" s="30">
        <v>3</v>
      </c>
      <c r="C138" s="31" t="s">
        <v>304</v>
      </c>
      <c r="D138" s="31"/>
      <c r="E138" s="32" t="s">
        <v>308</v>
      </c>
      <c r="F138" s="55"/>
    </row>
    <row r="139" spans="1:6" ht="20.100000000000001" customHeight="1" x14ac:dyDescent="0.2">
      <c r="A139" s="50"/>
      <c r="B139" s="30">
        <v>4</v>
      </c>
      <c r="C139" s="31" t="s">
        <v>317</v>
      </c>
      <c r="D139" s="31"/>
      <c r="E139" s="32" t="s">
        <v>309</v>
      </c>
      <c r="F139" s="53" t="s">
        <v>1189</v>
      </c>
    </row>
    <row r="140" spans="1:6" ht="20.100000000000001" customHeight="1" x14ac:dyDescent="0.2">
      <c r="A140" s="50"/>
      <c r="B140" s="30">
        <v>5</v>
      </c>
      <c r="C140" s="31" t="s">
        <v>318</v>
      </c>
      <c r="D140" s="31"/>
      <c r="E140" s="32" t="s">
        <v>310</v>
      </c>
      <c r="F140" s="54"/>
    </row>
    <row r="141" spans="1:6" ht="20.100000000000001" customHeight="1" x14ac:dyDescent="0.2">
      <c r="A141" s="50"/>
      <c r="B141" s="30">
        <v>6</v>
      </c>
      <c r="C141" s="31" t="s">
        <v>319</v>
      </c>
      <c r="D141" s="31"/>
      <c r="E141" s="32" t="s">
        <v>311</v>
      </c>
      <c r="F141" s="54"/>
    </row>
    <row r="142" spans="1:6" ht="20.100000000000001" customHeight="1" x14ac:dyDescent="0.2">
      <c r="A142" s="50"/>
      <c r="B142" s="30">
        <v>7</v>
      </c>
      <c r="C142" s="31" t="s">
        <v>320</v>
      </c>
      <c r="D142" s="31"/>
      <c r="E142" s="32" t="s">
        <v>312</v>
      </c>
      <c r="F142" s="55"/>
    </row>
    <row r="143" spans="1:6" ht="20.100000000000001" customHeight="1" x14ac:dyDescent="0.2">
      <c r="A143" s="50"/>
      <c r="B143" s="30">
        <v>8</v>
      </c>
      <c r="C143" s="31" t="s">
        <v>321</v>
      </c>
      <c r="D143" s="31"/>
      <c r="E143" s="32" t="s">
        <v>313</v>
      </c>
      <c r="F143" s="53" t="s">
        <v>1190</v>
      </c>
    </row>
    <row r="144" spans="1:6" ht="20.100000000000001" customHeight="1" x14ac:dyDescent="0.2">
      <c r="A144" s="50"/>
      <c r="B144" s="30">
        <v>9</v>
      </c>
      <c r="C144" s="31" t="s">
        <v>322</v>
      </c>
      <c r="D144" s="31"/>
      <c r="E144" s="32" t="s">
        <v>314</v>
      </c>
      <c r="F144" s="54"/>
    </row>
    <row r="145" spans="1:6" ht="20.100000000000001" customHeight="1" x14ac:dyDescent="0.2">
      <c r="A145" s="50"/>
      <c r="B145" s="30">
        <v>10</v>
      </c>
      <c r="C145" s="31" t="s">
        <v>323</v>
      </c>
      <c r="D145" s="31"/>
      <c r="E145" s="32" t="s">
        <v>315</v>
      </c>
      <c r="F145" s="54"/>
    </row>
    <row r="146" spans="1:6" ht="20.100000000000001" customHeight="1" x14ac:dyDescent="0.2">
      <c r="A146" s="50"/>
      <c r="B146" s="30">
        <v>11</v>
      </c>
      <c r="C146" s="31" t="s">
        <v>324</v>
      </c>
      <c r="D146" s="31"/>
      <c r="E146" s="32" t="s">
        <v>316</v>
      </c>
      <c r="F146" s="55"/>
    </row>
    <row r="147" spans="1:6" ht="20.100000000000001" customHeight="1" x14ac:dyDescent="0.2">
      <c r="A147" s="50"/>
      <c r="B147" s="30">
        <v>12</v>
      </c>
      <c r="C147" s="31" t="s">
        <v>325</v>
      </c>
      <c r="D147" s="31"/>
      <c r="E147" s="32" t="s">
        <v>783</v>
      </c>
      <c r="F147" s="53" t="s">
        <v>1191</v>
      </c>
    </row>
    <row r="148" spans="1:6" ht="20.100000000000001" customHeight="1" x14ac:dyDescent="0.2">
      <c r="A148" s="50"/>
      <c r="B148" s="30">
        <v>13</v>
      </c>
      <c r="C148" s="31" t="s">
        <v>326</v>
      </c>
      <c r="D148" s="31"/>
      <c r="E148" s="32" t="s">
        <v>784</v>
      </c>
      <c r="F148" s="54"/>
    </row>
    <row r="149" spans="1:6" ht="20.100000000000001" customHeight="1" x14ac:dyDescent="0.2">
      <c r="A149" s="50"/>
      <c r="B149" s="30">
        <v>14</v>
      </c>
      <c r="C149" s="31" t="s">
        <v>327</v>
      </c>
      <c r="D149" s="31"/>
      <c r="E149" s="32" t="s">
        <v>786</v>
      </c>
      <c r="F149" s="54"/>
    </row>
    <row r="150" spans="1:6" ht="20.100000000000001" customHeight="1" x14ac:dyDescent="0.2">
      <c r="A150" s="50"/>
      <c r="B150" s="30">
        <v>15</v>
      </c>
      <c r="C150" s="31" t="s">
        <v>328</v>
      </c>
      <c r="D150" s="31"/>
      <c r="E150" s="32" t="s">
        <v>785</v>
      </c>
      <c r="F150" s="55"/>
    </row>
    <row r="151" spans="1:6" ht="20.100000000000001" customHeight="1" x14ac:dyDescent="0.2">
      <c r="A151" s="50"/>
      <c r="B151" s="30">
        <v>16</v>
      </c>
      <c r="C151" s="31" t="s">
        <v>636</v>
      </c>
      <c r="D151" s="31"/>
      <c r="E151" s="32" t="s">
        <v>841</v>
      </c>
      <c r="F151" s="53" t="s">
        <v>1192</v>
      </c>
    </row>
    <row r="152" spans="1:6" ht="20.100000000000001" customHeight="1" x14ac:dyDescent="0.2">
      <c r="A152" s="50"/>
      <c r="B152" s="30">
        <v>17</v>
      </c>
      <c r="C152" s="31" t="s">
        <v>637</v>
      </c>
      <c r="D152" s="31"/>
      <c r="E152" s="32" t="s">
        <v>842</v>
      </c>
      <c r="F152" s="54"/>
    </row>
    <row r="153" spans="1:6" ht="20.100000000000001" customHeight="1" x14ac:dyDescent="0.2">
      <c r="A153" s="50"/>
      <c r="B153" s="30">
        <v>18</v>
      </c>
      <c r="C153" s="31" t="s">
        <v>638</v>
      </c>
      <c r="D153" s="31"/>
      <c r="E153" s="32" t="s">
        <v>840</v>
      </c>
      <c r="F153" s="54"/>
    </row>
    <row r="154" spans="1:6" ht="20.100000000000001" customHeight="1" x14ac:dyDescent="0.2">
      <c r="A154" s="50"/>
      <c r="B154" s="30">
        <v>19</v>
      </c>
      <c r="C154" s="31" t="s">
        <v>639</v>
      </c>
      <c r="D154" s="31"/>
      <c r="E154" s="32"/>
      <c r="F154" s="55"/>
    </row>
    <row r="155" spans="1:6" ht="20.100000000000001" customHeight="1" x14ac:dyDescent="0.2">
      <c r="A155" s="50" t="s">
        <v>653</v>
      </c>
      <c r="B155" s="30">
        <v>0</v>
      </c>
      <c r="C155" s="31" t="s">
        <v>640</v>
      </c>
      <c r="D155" s="31"/>
      <c r="E155" s="17" t="s">
        <v>690</v>
      </c>
      <c r="F155" s="30" t="s">
        <v>666</v>
      </c>
    </row>
    <row r="156" spans="1:6" ht="20.100000000000001" customHeight="1" x14ac:dyDescent="0.2">
      <c r="A156" s="50"/>
      <c r="B156" s="30">
        <v>1</v>
      </c>
      <c r="C156" s="31" t="s">
        <v>641</v>
      </c>
      <c r="D156" s="31"/>
      <c r="E156" s="17" t="s">
        <v>691</v>
      </c>
      <c r="F156" s="30" t="s">
        <v>667</v>
      </c>
    </row>
    <row r="157" spans="1:6" ht="20.100000000000001" customHeight="1" x14ac:dyDescent="0.2">
      <c r="A157" s="50"/>
      <c r="B157" s="30">
        <v>2</v>
      </c>
      <c r="C157" s="31" t="s">
        <v>642</v>
      </c>
      <c r="D157" s="31"/>
      <c r="E157" s="17" t="s">
        <v>692</v>
      </c>
      <c r="F157" s="30" t="s">
        <v>668</v>
      </c>
    </row>
    <row r="158" spans="1:6" ht="20.100000000000001" customHeight="1" x14ac:dyDescent="0.2">
      <c r="A158" s="50"/>
      <c r="B158" s="30">
        <v>3</v>
      </c>
      <c r="C158" s="31" t="s">
        <v>643</v>
      </c>
      <c r="D158" s="31"/>
      <c r="E158" s="17" t="s">
        <v>693</v>
      </c>
      <c r="F158" s="30" t="s">
        <v>669</v>
      </c>
    </row>
    <row r="159" spans="1:6" ht="20.100000000000001" customHeight="1" x14ac:dyDescent="0.2">
      <c r="A159" s="50"/>
      <c r="B159" s="30">
        <v>4</v>
      </c>
      <c r="C159" s="31" t="s">
        <v>644</v>
      </c>
      <c r="D159" s="31"/>
      <c r="E159" s="17" t="s">
        <v>694</v>
      </c>
      <c r="F159" s="30" t="s">
        <v>670</v>
      </c>
    </row>
    <row r="160" spans="1:6" ht="20.100000000000001" customHeight="1" x14ac:dyDescent="0.2">
      <c r="A160" s="50"/>
      <c r="B160" s="30">
        <v>5</v>
      </c>
      <c r="C160" s="31" t="s">
        <v>645</v>
      </c>
      <c r="D160" s="31"/>
      <c r="E160" s="17" t="s">
        <v>695</v>
      </c>
      <c r="F160" s="30" t="s">
        <v>671</v>
      </c>
    </row>
    <row r="161" spans="1:7" ht="20.100000000000001" customHeight="1" x14ac:dyDescent="0.2">
      <c r="A161" s="50"/>
      <c r="B161" s="30">
        <v>6</v>
      </c>
      <c r="C161" s="31" t="s">
        <v>646</v>
      </c>
      <c r="D161" s="31"/>
      <c r="E161" s="17" t="s">
        <v>696</v>
      </c>
      <c r="F161" s="30" t="s">
        <v>672</v>
      </c>
    </row>
    <row r="162" spans="1:7" ht="20.100000000000001" customHeight="1" x14ac:dyDescent="0.2">
      <c r="A162" s="50"/>
      <c r="B162" s="30">
        <v>7</v>
      </c>
      <c r="C162" s="31" t="s">
        <v>647</v>
      </c>
      <c r="D162" s="31"/>
      <c r="E162" s="17" t="s">
        <v>697</v>
      </c>
      <c r="F162" s="30" t="s">
        <v>673</v>
      </c>
    </row>
    <row r="163" spans="1:7" ht="20.100000000000001" customHeight="1" x14ac:dyDescent="0.2">
      <c r="A163" s="50"/>
      <c r="B163" s="30">
        <v>8</v>
      </c>
      <c r="C163" s="31" t="s">
        <v>648</v>
      </c>
      <c r="D163" s="31"/>
      <c r="E163" s="17" t="s">
        <v>698</v>
      </c>
      <c r="F163" s="30" t="s">
        <v>674</v>
      </c>
    </row>
    <row r="164" spans="1:7" ht="20.100000000000001" customHeight="1" x14ac:dyDescent="0.2">
      <c r="A164" s="50"/>
      <c r="B164" s="30">
        <v>9</v>
      </c>
      <c r="C164" s="31" t="s">
        <v>649</v>
      </c>
      <c r="D164" s="31"/>
      <c r="E164" s="17" t="s">
        <v>699</v>
      </c>
      <c r="F164" s="30" t="s">
        <v>675</v>
      </c>
    </row>
    <row r="165" spans="1:7" ht="20.100000000000001" customHeight="1" x14ac:dyDescent="0.2">
      <c r="A165" s="50"/>
      <c r="B165" s="30">
        <v>10</v>
      </c>
      <c r="C165" s="31" t="s">
        <v>650</v>
      </c>
      <c r="D165" s="31"/>
      <c r="E165" s="17" t="s">
        <v>700</v>
      </c>
      <c r="F165" s="30" t="s">
        <v>676</v>
      </c>
    </row>
    <row r="166" spans="1:7" ht="20.100000000000001" customHeight="1" x14ac:dyDescent="0.2">
      <c r="A166" s="50"/>
      <c r="B166" s="30">
        <v>11</v>
      </c>
      <c r="C166" s="31" t="s">
        <v>651</v>
      </c>
      <c r="D166" s="31"/>
      <c r="E166" s="17" t="s">
        <v>701</v>
      </c>
      <c r="F166" s="30" t="s">
        <v>688</v>
      </c>
    </row>
    <row r="167" spans="1:7" ht="20.100000000000001" customHeight="1" x14ac:dyDescent="0.2">
      <c r="A167" s="50"/>
      <c r="B167" s="30">
        <v>12</v>
      </c>
      <c r="C167" s="31" t="s">
        <v>652</v>
      </c>
      <c r="D167" s="31"/>
      <c r="E167" s="17" t="s">
        <v>702</v>
      </c>
      <c r="F167" s="30" t="s">
        <v>689</v>
      </c>
    </row>
    <row r="168" spans="1:7" ht="20.100000000000001" customHeight="1" x14ac:dyDescent="0.2">
      <c r="A168" s="53" t="s">
        <v>654</v>
      </c>
      <c r="B168" s="30">
        <v>0</v>
      </c>
      <c r="C168" s="31" t="s">
        <v>655</v>
      </c>
      <c r="D168" s="31"/>
      <c r="E168" s="32"/>
      <c r="F168" s="30" t="s">
        <v>677</v>
      </c>
      <c r="G168" s="7" t="s">
        <v>871</v>
      </c>
    </row>
    <row r="169" spans="1:7" ht="20.100000000000001" customHeight="1" x14ac:dyDescent="0.2">
      <c r="A169" s="54"/>
      <c r="B169" s="30">
        <v>1</v>
      </c>
      <c r="C169" s="31" t="s">
        <v>656</v>
      </c>
      <c r="D169" s="31"/>
      <c r="E169" s="32"/>
      <c r="F169" s="30" t="s">
        <v>678</v>
      </c>
      <c r="G169" s="58" t="s">
        <v>913</v>
      </c>
    </row>
    <row r="170" spans="1:7" ht="20.100000000000001" customHeight="1" x14ac:dyDescent="0.2">
      <c r="A170" s="54"/>
      <c r="B170" s="30">
        <v>2</v>
      </c>
      <c r="C170" s="31" t="s">
        <v>657</v>
      </c>
      <c r="D170" s="31"/>
      <c r="E170" s="32"/>
      <c r="F170" s="30" t="s">
        <v>679</v>
      </c>
      <c r="G170" s="58"/>
    </row>
    <row r="171" spans="1:7" ht="20.100000000000001" customHeight="1" x14ac:dyDescent="0.2">
      <c r="A171" s="54"/>
      <c r="B171" s="30">
        <v>3</v>
      </c>
      <c r="C171" s="31" t="s">
        <v>658</v>
      </c>
      <c r="D171" s="31"/>
      <c r="E171" s="32"/>
      <c r="F171" s="30" t="s">
        <v>680</v>
      </c>
      <c r="G171" s="58" t="s">
        <v>914</v>
      </c>
    </row>
    <row r="172" spans="1:7" ht="20.100000000000001" customHeight="1" x14ac:dyDescent="0.2">
      <c r="A172" s="54"/>
      <c r="B172" s="30">
        <v>4</v>
      </c>
      <c r="C172" s="31" t="s">
        <v>659</v>
      </c>
      <c r="D172" s="31"/>
      <c r="E172" s="32"/>
      <c r="F172" s="30" t="s">
        <v>681</v>
      </c>
      <c r="G172" s="58"/>
    </row>
    <row r="173" spans="1:7" ht="20.100000000000001" customHeight="1" x14ac:dyDescent="0.2">
      <c r="A173" s="54"/>
      <c r="B173" s="30">
        <v>5</v>
      </c>
      <c r="C173" s="31" t="s">
        <v>660</v>
      </c>
      <c r="D173" s="31"/>
      <c r="E173" s="32"/>
      <c r="F173" s="30" t="s">
        <v>682</v>
      </c>
      <c r="G173" s="23" t="s">
        <v>726</v>
      </c>
    </row>
    <row r="174" spans="1:7" ht="20.100000000000001" customHeight="1" x14ac:dyDescent="0.2">
      <c r="A174" s="54"/>
      <c r="B174" s="30">
        <v>6</v>
      </c>
      <c r="C174" s="31" t="s">
        <v>661</v>
      </c>
      <c r="D174" s="31"/>
      <c r="E174" s="32"/>
      <c r="F174" s="30" t="s">
        <v>683</v>
      </c>
      <c r="G174" s="23" t="s">
        <v>729</v>
      </c>
    </row>
    <row r="175" spans="1:7" ht="20.100000000000001" customHeight="1" x14ac:dyDescent="0.2">
      <c r="A175" s="54"/>
      <c r="B175" s="30">
        <v>7</v>
      </c>
      <c r="C175" s="31" t="s">
        <v>662</v>
      </c>
      <c r="D175" s="31"/>
      <c r="E175" s="32"/>
      <c r="F175" s="30" t="s">
        <v>684</v>
      </c>
      <c r="G175" s="58" t="s">
        <v>915</v>
      </c>
    </row>
    <row r="176" spans="1:7" ht="20.100000000000001" customHeight="1" x14ac:dyDescent="0.2">
      <c r="A176" s="54"/>
      <c r="B176" s="30">
        <v>8</v>
      </c>
      <c r="C176" s="31" t="s">
        <v>663</v>
      </c>
      <c r="D176" s="31"/>
      <c r="E176" s="32"/>
      <c r="F176" s="30" t="s">
        <v>685</v>
      </c>
      <c r="G176" s="58"/>
    </row>
    <row r="177" spans="1:7" ht="20.100000000000001" customHeight="1" x14ac:dyDescent="0.2">
      <c r="A177" s="54"/>
      <c r="B177" s="30">
        <v>9</v>
      </c>
      <c r="C177" s="31" t="s">
        <v>664</v>
      </c>
      <c r="D177" s="31"/>
      <c r="E177" s="32"/>
      <c r="F177" s="30" t="s">
        <v>686</v>
      </c>
      <c r="G177" s="58" t="s">
        <v>917</v>
      </c>
    </row>
    <row r="178" spans="1:7" ht="20.100000000000001" customHeight="1" x14ac:dyDescent="0.2">
      <c r="A178" s="54"/>
      <c r="B178" s="30">
        <v>10</v>
      </c>
      <c r="C178" s="31" t="s">
        <v>665</v>
      </c>
      <c r="D178" s="31"/>
      <c r="E178" s="32"/>
      <c r="F178" s="30" t="s">
        <v>687</v>
      </c>
      <c r="G178" s="58"/>
    </row>
    <row r="179" spans="1:7" ht="20.100000000000001" customHeight="1" x14ac:dyDescent="0.2">
      <c r="A179" s="54"/>
      <c r="B179" s="30">
        <v>11</v>
      </c>
      <c r="C179" s="31" t="s">
        <v>960</v>
      </c>
      <c r="D179" s="31"/>
      <c r="E179" s="32"/>
      <c r="F179" s="30" t="s">
        <v>1072</v>
      </c>
      <c r="G179" s="23" t="s">
        <v>721</v>
      </c>
    </row>
    <row r="180" spans="1:7" ht="20.100000000000001" customHeight="1" x14ac:dyDescent="0.2">
      <c r="A180" s="55"/>
      <c r="B180" s="30">
        <v>12</v>
      </c>
      <c r="C180" s="31" t="s">
        <v>961</v>
      </c>
      <c r="D180" s="31"/>
      <c r="E180" s="32"/>
      <c r="F180" s="30" t="s">
        <v>1073</v>
      </c>
      <c r="G180" s="24" t="s">
        <v>1074</v>
      </c>
    </row>
    <row r="181" spans="1:7" ht="20.100000000000001" customHeight="1" x14ac:dyDescent="0.2">
      <c r="A181" s="53" t="s">
        <v>334</v>
      </c>
      <c r="B181" s="30">
        <v>1</v>
      </c>
      <c r="C181" s="31" t="s">
        <v>1112</v>
      </c>
      <c r="D181" s="31"/>
      <c r="E181" s="32" t="s">
        <v>1118</v>
      </c>
      <c r="F181" s="53" t="s">
        <v>1193</v>
      </c>
      <c r="G181" s="28"/>
    </row>
    <row r="182" spans="1:7" ht="20.100000000000001" customHeight="1" x14ac:dyDescent="0.2">
      <c r="A182" s="54"/>
      <c r="B182" s="30">
        <v>2</v>
      </c>
      <c r="C182" s="31" t="s">
        <v>1113</v>
      </c>
      <c r="D182" s="31"/>
      <c r="E182" s="32" t="s">
        <v>1119</v>
      </c>
      <c r="F182" s="54"/>
      <c r="G182" s="28"/>
    </row>
    <row r="183" spans="1:7" ht="20.100000000000001" customHeight="1" x14ac:dyDescent="0.2">
      <c r="A183" s="54"/>
      <c r="B183" s="30">
        <v>3</v>
      </c>
      <c r="C183" s="31" t="s">
        <v>1114</v>
      </c>
      <c r="D183" s="31"/>
      <c r="E183" s="32" t="s">
        <v>1120</v>
      </c>
      <c r="F183" s="54"/>
      <c r="G183" s="28"/>
    </row>
    <row r="184" spans="1:7" ht="20.100000000000001" customHeight="1" x14ac:dyDescent="0.2">
      <c r="A184" s="54"/>
      <c r="B184" s="30">
        <v>4</v>
      </c>
      <c r="C184" s="31" t="s">
        <v>1115</v>
      </c>
      <c r="D184" s="31"/>
      <c r="E184" s="32" t="s">
        <v>1121</v>
      </c>
      <c r="F184" s="54"/>
      <c r="G184" s="28"/>
    </row>
    <row r="185" spans="1:7" ht="20.100000000000001" customHeight="1" x14ac:dyDescent="0.2">
      <c r="A185" s="54"/>
      <c r="B185" s="30">
        <v>5</v>
      </c>
      <c r="C185" s="31" t="s">
        <v>1116</v>
      </c>
      <c r="D185" s="31"/>
      <c r="E185" s="32" t="s">
        <v>1122</v>
      </c>
      <c r="F185" s="54"/>
      <c r="G185" s="28"/>
    </row>
    <row r="186" spans="1:7" ht="20.100000000000001" customHeight="1" x14ac:dyDescent="0.2">
      <c r="A186" s="54"/>
      <c r="B186" s="30">
        <v>6</v>
      </c>
      <c r="C186" s="31" t="s">
        <v>1117</v>
      </c>
      <c r="D186" s="31"/>
      <c r="E186" s="32" t="s">
        <v>1123</v>
      </c>
      <c r="F186" s="55"/>
      <c r="G186" s="28"/>
    </row>
    <row r="187" spans="1:7" ht="20.100000000000001" customHeight="1" x14ac:dyDescent="0.2">
      <c r="A187" s="54"/>
      <c r="B187" s="30">
        <v>7</v>
      </c>
      <c r="C187" s="31" t="s">
        <v>1142</v>
      </c>
      <c r="D187" s="31"/>
      <c r="E187" s="32" t="s">
        <v>1124</v>
      </c>
      <c r="F187" s="53" t="s">
        <v>1194</v>
      </c>
      <c r="G187" s="28"/>
    </row>
    <row r="188" spans="1:7" ht="20.100000000000001" customHeight="1" x14ac:dyDescent="0.2">
      <c r="A188" s="54"/>
      <c r="B188" s="30">
        <v>8</v>
      </c>
      <c r="C188" s="31" t="s">
        <v>1143</v>
      </c>
      <c r="D188" s="31"/>
      <c r="E188" s="32" t="s">
        <v>1125</v>
      </c>
      <c r="F188" s="54"/>
      <c r="G188" s="28"/>
    </row>
    <row r="189" spans="1:7" ht="20.100000000000001" customHeight="1" x14ac:dyDescent="0.2">
      <c r="A189" s="54"/>
      <c r="B189" s="30">
        <v>9</v>
      </c>
      <c r="C189" s="31" t="s">
        <v>1144</v>
      </c>
      <c r="D189" s="31"/>
      <c r="E189" s="32" t="s">
        <v>1126</v>
      </c>
      <c r="F189" s="54"/>
      <c r="G189" s="28"/>
    </row>
    <row r="190" spans="1:7" ht="20.100000000000001" customHeight="1" x14ac:dyDescent="0.2">
      <c r="A190" s="54"/>
      <c r="B190" s="30">
        <v>10</v>
      </c>
      <c r="C190" s="31" t="s">
        <v>1145</v>
      </c>
      <c r="D190" s="31"/>
      <c r="E190" s="32" t="s">
        <v>1127</v>
      </c>
      <c r="F190" s="54"/>
      <c r="G190" s="28"/>
    </row>
    <row r="191" spans="1:7" ht="20.100000000000001" customHeight="1" x14ac:dyDescent="0.2">
      <c r="A191" s="54"/>
      <c r="B191" s="30">
        <v>11</v>
      </c>
      <c r="C191" s="31" t="s">
        <v>1146</v>
      </c>
      <c r="D191" s="31"/>
      <c r="E191" s="32" t="s">
        <v>1128</v>
      </c>
      <c r="F191" s="54"/>
      <c r="G191" s="28"/>
    </row>
    <row r="192" spans="1:7" ht="20.100000000000001" customHeight="1" x14ac:dyDescent="0.2">
      <c r="A192" s="54"/>
      <c r="B192" s="30">
        <v>12</v>
      </c>
      <c r="C192" s="31" t="s">
        <v>1147</v>
      </c>
      <c r="D192" s="31"/>
      <c r="E192" s="32" t="s">
        <v>1129</v>
      </c>
      <c r="F192" s="55"/>
      <c r="G192" s="28"/>
    </row>
    <row r="193" spans="1:7" ht="20.100000000000001" customHeight="1" x14ac:dyDescent="0.2">
      <c r="A193" s="54"/>
      <c r="B193" s="30">
        <v>13</v>
      </c>
      <c r="C193" s="31" t="s">
        <v>1148</v>
      </c>
      <c r="D193" s="31"/>
      <c r="E193" s="32" t="s">
        <v>1130</v>
      </c>
      <c r="F193" s="53" t="s">
        <v>1195</v>
      </c>
      <c r="G193" s="28"/>
    </row>
    <row r="194" spans="1:7" ht="20.100000000000001" customHeight="1" x14ac:dyDescent="0.2">
      <c r="A194" s="54"/>
      <c r="B194" s="30">
        <v>14</v>
      </c>
      <c r="C194" s="31" t="s">
        <v>1149</v>
      </c>
      <c r="D194" s="31"/>
      <c r="E194" s="32" t="s">
        <v>1131</v>
      </c>
      <c r="F194" s="54"/>
      <c r="G194" s="28"/>
    </row>
    <row r="195" spans="1:7" ht="20.100000000000001" customHeight="1" x14ac:dyDescent="0.2">
      <c r="A195" s="54"/>
      <c r="B195" s="30">
        <v>15</v>
      </c>
      <c r="C195" s="31" t="s">
        <v>1150</v>
      </c>
      <c r="D195" s="31"/>
      <c r="E195" s="32" t="s">
        <v>1132</v>
      </c>
      <c r="F195" s="54"/>
      <c r="G195" s="28"/>
    </row>
    <row r="196" spans="1:7" ht="20.100000000000001" customHeight="1" x14ac:dyDescent="0.2">
      <c r="A196" s="54"/>
      <c r="B196" s="30">
        <v>16</v>
      </c>
      <c r="C196" s="31" t="s">
        <v>1151</v>
      </c>
      <c r="D196" s="31"/>
      <c r="E196" s="32" t="s">
        <v>1133</v>
      </c>
      <c r="F196" s="54"/>
      <c r="G196" s="28"/>
    </row>
    <row r="197" spans="1:7" ht="20.100000000000001" customHeight="1" x14ac:dyDescent="0.2">
      <c r="A197" s="54"/>
      <c r="B197" s="30">
        <v>17</v>
      </c>
      <c r="C197" s="31" t="s">
        <v>1152</v>
      </c>
      <c r="D197" s="31"/>
      <c r="E197" s="32" t="s">
        <v>1134</v>
      </c>
      <c r="F197" s="54"/>
      <c r="G197" s="28"/>
    </row>
    <row r="198" spans="1:7" ht="20.100000000000001" customHeight="1" x14ac:dyDescent="0.2">
      <c r="A198" s="54"/>
      <c r="B198" s="30">
        <v>18</v>
      </c>
      <c r="C198" s="31" t="s">
        <v>1153</v>
      </c>
      <c r="D198" s="31"/>
      <c r="E198" s="32" t="s">
        <v>1135</v>
      </c>
      <c r="F198" s="55"/>
      <c r="G198" s="28"/>
    </row>
    <row r="199" spans="1:7" ht="20.100000000000001" customHeight="1" x14ac:dyDescent="0.2">
      <c r="A199" s="54"/>
      <c r="B199" s="30">
        <v>19</v>
      </c>
      <c r="C199" s="31" t="s">
        <v>1154</v>
      </c>
      <c r="D199" s="31"/>
      <c r="E199" s="32" t="s">
        <v>1136</v>
      </c>
      <c r="F199" s="53" t="s">
        <v>1196</v>
      </c>
      <c r="G199" s="28"/>
    </row>
    <row r="200" spans="1:7" ht="20.100000000000001" customHeight="1" x14ac:dyDescent="0.2">
      <c r="A200" s="54"/>
      <c r="B200" s="30">
        <v>20</v>
      </c>
      <c r="C200" s="31" t="s">
        <v>1155</v>
      </c>
      <c r="D200" s="31"/>
      <c r="E200" s="32" t="s">
        <v>1137</v>
      </c>
      <c r="F200" s="54"/>
      <c r="G200" s="28"/>
    </row>
    <row r="201" spans="1:7" ht="20.100000000000001" customHeight="1" x14ac:dyDescent="0.2">
      <c r="A201" s="54"/>
      <c r="B201" s="30">
        <v>21</v>
      </c>
      <c r="C201" s="31" t="s">
        <v>1156</v>
      </c>
      <c r="D201" s="31"/>
      <c r="E201" s="32" t="s">
        <v>1138</v>
      </c>
      <c r="F201" s="54"/>
      <c r="G201" s="28"/>
    </row>
    <row r="202" spans="1:7" ht="20.100000000000001" customHeight="1" x14ac:dyDescent="0.2">
      <c r="A202" s="54"/>
      <c r="B202" s="30">
        <v>22</v>
      </c>
      <c r="C202" s="31" t="s">
        <v>1157</v>
      </c>
      <c r="D202" s="31"/>
      <c r="E202" s="32" t="s">
        <v>1139</v>
      </c>
      <c r="F202" s="54"/>
      <c r="G202" s="28"/>
    </row>
    <row r="203" spans="1:7" ht="20.100000000000001" customHeight="1" x14ac:dyDescent="0.2">
      <c r="A203" s="54"/>
      <c r="B203" s="30">
        <v>23</v>
      </c>
      <c r="C203" s="31" t="s">
        <v>1158</v>
      </c>
      <c r="D203" s="31"/>
      <c r="E203" s="32" t="s">
        <v>1140</v>
      </c>
      <c r="F203" s="53" t="s">
        <v>1197</v>
      </c>
      <c r="G203" s="28"/>
    </row>
    <row r="204" spans="1:7" ht="20.100000000000001" customHeight="1" x14ac:dyDescent="0.2">
      <c r="A204" s="54"/>
      <c r="B204" s="30">
        <v>24</v>
      </c>
      <c r="C204" s="31" t="s">
        <v>1159</v>
      </c>
      <c r="D204" s="31"/>
      <c r="E204" s="32" t="s">
        <v>1141</v>
      </c>
      <c r="F204" s="54"/>
      <c r="G204" s="28"/>
    </row>
    <row r="205" spans="1:7" ht="20.100000000000001" customHeight="1" x14ac:dyDescent="0.2">
      <c r="A205" s="54"/>
      <c r="B205" s="30">
        <v>25</v>
      </c>
      <c r="C205" s="31" t="s">
        <v>1160</v>
      </c>
      <c r="D205" s="31"/>
      <c r="E205" s="32" t="s">
        <v>1162</v>
      </c>
      <c r="F205" s="54"/>
      <c r="G205" s="28"/>
    </row>
    <row r="206" spans="1:7" ht="20.100000000000001" customHeight="1" x14ac:dyDescent="0.2">
      <c r="A206" s="55"/>
      <c r="B206" s="30">
        <v>26</v>
      </c>
      <c r="C206" s="31" t="s">
        <v>1161</v>
      </c>
      <c r="D206" s="31"/>
      <c r="E206" s="32" t="s">
        <v>1163</v>
      </c>
      <c r="F206" s="54"/>
      <c r="G206" s="28"/>
    </row>
    <row r="207" spans="1:7" ht="20.100000000000001" customHeight="1" x14ac:dyDescent="0.2">
      <c r="A207" s="48" t="s">
        <v>335</v>
      </c>
      <c r="B207" s="14">
        <v>0</v>
      </c>
      <c r="C207" s="15" t="s">
        <v>265</v>
      </c>
      <c r="D207" s="15"/>
      <c r="E207" s="16" t="s">
        <v>802</v>
      </c>
      <c r="F207" s="16"/>
      <c r="G207" s="15" t="s">
        <v>277</v>
      </c>
    </row>
    <row r="208" spans="1:7" ht="20.100000000000001" customHeight="1" x14ac:dyDescent="0.2">
      <c r="A208" s="49"/>
      <c r="B208" s="14">
        <v>1</v>
      </c>
      <c r="C208" s="15" t="s">
        <v>266</v>
      </c>
      <c r="D208" s="15"/>
      <c r="E208" s="16" t="s">
        <v>848</v>
      </c>
      <c r="F208" s="16"/>
      <c r="G208" s="15" t="s">
        <v>278</v>
      </c>
    </row>
    <row r="209" spans="1:7" ht="20.100000000000001" customHeight="1" x14ac:dyDescent="0.2">
      <c r="A209" s="49"/>
      <c r="B209" s="14">
        <v>2</v>
      </c>
      <c r="C209" s="15" t="s">
        <v>267</v>
      </c>
      <c r="D209" s="15"/>
      <c r="E209" s="16" t="s">
        <v>803</v>
      </c>
      <c r="F209" s="16"/>
      <c r="G209" s="15" t="s">
        <v>279</v>
      </c>
    </row>
    <row r="210" spans="1:7" ht="20.100000000000001" customHeight="1" x14ac:dyDescent="0.2">
      <c r="A210" s="49"/>
      <c r="B210" s="14">
        <v>3</v>
      </c>
      <c r="C210" s="15" t="s">
        <v>268</v>
      </c>
      <c r="D210" s="15"/>
      <c r="E210" s="16" t="s">
        <v>804</v>
      </c>
      <c r="F210" s="16"/>
      <c r="G210" s="15" t="s">
        <v>280</v>
      </c>
    </row>
    <row r="211" spans="1:7" ht="20.100000000000001" customHeight="1" x14ac:dyDescent="0.2">
      <c r="A211" s="49"/>
      <c r="B211" s="14">
        <v>4</v>
      </c>
      <c r="C211" s="15" t="s">
        <v>269</v>
      </c>
      <c r="D211" s="15"/>
      <c r="E211" s="16" t="s">
        <v>805</v>
      </c>
      <c r="F211" s="16"/>
      <c r="G211" s="15" t="s">
        <v>281</v>
      </c>
    </row>
    <row r="212" spans="1:7" ht="20.100000000000001" customHeight="1" x14ac:dyDescent="0.2">
      <c r="A212" s="49"/>
      <c r="B212" s="14">
        <v>5</v>
      </c>
      <c r="C212" s="15" t="s">
        <v>270</v>
      </c>
      <c r="D212" s="15"/>
      <c r="E212" s="16" t="s">
        <v>846</v>
      </c>
      <c r="F212" s="16"/>
      <c r="G212" s="15" t="s">
        <v>282</v>
      </c>
    </row>
    <row r="213" spans="1:7" ht="20.100000000000001" customHeight="1" x14ac:dyDescent="0.2">
      <c r="A213" s="49"/>
      <c r="B213" s="14">
        <v>6</v>
      </c>
      <c r="C213" s="15" t="s">
        <v>271</v>
      </c>
      <c r="D213" s="15"/>
      <c r="E213" s="16" t="s">
        <v>847</v>
      </c>
      <c r="F213" s="14"/>
      <c r="G213" s="15" t="s">
        <v>283</v>
      </c>
    </row>
    <row r="214" spans="1:7" ht="20.100000000000001" customHeight="1" x14ac:dyDescent="0.2">
      <c r="A214" s="49"/>
      <c r="B214" s="14">
        <v>7</v>
      </c>
      <c r="C214" s="15" t="s">
        <v>272</v>
      </c>
      <c r="D214" s="15"/>
      <c r="E214" s="16"/>
      <c r="F214" s="14"/>
      <c r="G214" s="15"/>
    </row>
    <row r="215" spans="1:7" ht="20.100000000000001" customHeight="1" x14ac:dyDescent="0.2">
      <c r="A215" s="49"/>
      <c r="B215" s="14">
        <v>8</v>
      </c>
      <c r="C215" s="15" t="s">
        <v>273</v>
      </c>
      <c r="D215" s="15"/>
      <c r="E215" s="16"/>
      <c r="F215" s="14"/>
      <c r="G215" s="15"/>
    </row>
    <row r="216" spans="1:7" ht="20.100000000000001" customHeight="1" x14ac:dyDescent="0.2">
      <c r="A216" s="49"/>
      <c r="B216" s="14">
        <v>9</v>
      </c>
      <c r="C216" s="15" t="s">
        <v>274</v>
      </c>
      <c r="D216" s="15"/>
      <c r="E216" s="16" t="s">
        <v>251</v>
      </c>
      <c r="F216" s="14"/>
      <c r="G216" s="15" t="s">
        <v>265</v>
      </c>
    </row>
    <row r="217" spans="1:7" ht="20.100000000000001" customHeight="1" x14ac:dyDescent="0.2">
      <c r="A217" s="49"/>
      <c r="B217" s="14">
        <v>10</v>
      </c>
      <c r="C217" s="15" t="s">
        <v>275</v>
      </c>
      <c r="D217" s="15"/>
      <c r="E217" s="16" t="s">
        <v>252</v>
      </c>
      <c r="F217" s="14"/>
      <c r="G217" s="15" t="s">
        <v>266</v>
      </c>
    </row>
    <row r="218" spans="1:7" ht="20.100000000000001" customHeight="1" x14ac:dyDescent="0.2">
      <c r="A218" s="49"/>
      <c r="B218" s="14">
        <v>11</v>
      </c>
      <c r="C218" s="15" t="s">
        <v>276</v>
      </c>
      <c r="D218" s="15"/>
      <c r="E218" s="16" t="s">
        <v>253</v>
      </c>
      <c r="F218" s="14"/>
      <c r="G218" s="15" t="s">
        <v>267</v>
      </c>
    </row>
    <row r="219" spans="1:7" ht="20.100000000000001" customHeight="1" x14ac:dyDescent="0.2">
      <c r="A219" s="49"/>
      <c r="B219" s="14">
        <v>12</v>
      </c>
      <c r="C219" s="15" t="s">
        <v>277</v>
      </c>
      <c r="D219" s="15"/>
      <c r="E219" s="16" t="s">
        <v>254</v>
      </c>
      <c r="F219" s="14"/>
      <c r="G219" s="15" t="s">
        <v>268</v>
      </c>
    </row>
    <row r="220" spans="1:7" ht="20.100000000000001" customHeight="1" x14ac:dyDescent="0.2">
      <c r="A220" s="49"/>
      <c r="B220" s="14">
        <v>13</v>
      </c>
      <c r="C220" s="15" t="s">
        <v>278</v>
      </c>
      <c r="D220" s="15"/>
      <c r="E220" s="16" t="s">
        <v>255</v>
      </c>
      <c r="F220" s="14"/>
      <c r="G220" s="15" t="s">
        <v>269</v>
      </c>
    </row>
    <row r="221" spans="1:7" ht="20.100000000000001" customHeight="1" x14ac:dyDescent="0.2">
      <c r="A221" s="49"/>
      <c r="B221" s="14">
        <v>14</v>
      </c>
      <c r="C221" s="15" t="s">
        <v>279</v>
      </c>
      <c r="D221" s="15"/>
      <c r="E221" s="16" t="s">
        <v>256</v>
      </c>
      <c r="F221" s="14"/>
      <c r="G221" s="15" t="s">
        <v>270</v>
      </c>
    </row>
    <row r="222" spans="1:7" ht="20.100000000000001" customHeight="1" x14ac:dyDescent="0.2">
      <c r="A222" s="49"/>
      <c r="B222" s="14">
        <v>15</v>
      </c>
      <c r="C222" s="15" t="s">
        <v>280</v>
      </c>
      <c r="D222" s="15"/>
      <c r="E222" s="16" t="s">
        <v>257</v>
      </c>
      <c r="F222" s="14"/>
      <c r="G222" s="15" t="s">
        <v>271</v>
      </c>
    </row>
    <row r="223" spans="1:7" ht="20.100000000000001" customHeight="1" x14ac:dyDescent="0.2">
      <c r="A223" s="49"/>
      <c r="B223" s="14">
        <v>16</v>
      </c>
      <c r="C223" s="15" t="s">
        <v>281</v>
      </c>
      <c r="D223" s="15"/>
      <c r="E223" s="16" t="s">
        <v>258</v>
      </c>
      <c r="F223" s="14"/>
      <c r="G223" s="15" t="s">
        <v>272</v>
      </c>
    </row>
    <row r="224" spans="1:7" ht="20.100000000000001" customHeight="1" x14ac:dyDescent="0.2">
      <c r="A224" s="49"/>
      <c r="B224" s="14">
        <v>17</v>
      </c>
      <c r="C224" s="15" t="s">
        <v>282</v>
      </c>
      <c r="D224" s="15"/>
      <c r="E224" s="16" t="s">
        <v>259</v>
      </c>
      <c r="F224" s="14"/>
      <c r="G224" s="15" t="s">
        <v>273</v>
      </c>
    </row>
    <row r="225" spans="1:7" ht="20.100000000000001" customHeight="1" x14ac:dyDescent="0.2">
      <c r="A225" s="49"/>
      <c r="B225" s="14">
        <v>18</v>
      </c>
      <c r="C225" s="15" t="s">
        <v>283</v>
      </c>
      <c r="D225" s="15"/>
      <c r="E225" s="16" t="s">
        <v>260</v>
      </c>
      <c r="F225" s="14"/>
      <c r="G225" s="15" t="s">
        <v>274</v>
      </c>
    </row>
    <row r="226" spans="1:7" ht="20.100000000000001" customHeight="1" x14ac:dyDescent="0.2">
      <c r="A226" s="49"/>
      <c r="B226" s="14">
        <v>19</v>
      </c>
      <c r="C226" s="15" t="s">
        <v>1343</v>
      </c>
      <c r="D226" s="15"/>
      <c r="E226" s="16" t="s">
        <v>261</v>
      </c>
      <c r="F226" s="14"/>
      <c r="G226" s="15" t="s">
        <v>275</v>
      </c>
    </row>
    <row r="227" spans="1:7" ht="20.100000000000001" customHeight="1" x14ac:dyDescent="0.2">
      <c r="A227" s="49"/>
      <c r="B227" s="14">
        <v>20</v>
      </c>
      <c r="C227" s="15" t="s">
        <v>1344</v>
      </c>
      <c r="D227" s="15"/>
      <c r="E227" s="16" t="s">
        <v>262</v>
      </c>
      <c r="F227" s="14"/>
      <c r="G227" s="15" t="s">
        <v>276</v>
      </c>
    </row>
    <row r="228" spans="1:7" ht="20.100000000000001" customHeight="1" x14ac:dyDescent="0.2">
      <c r="A228" s="49"/>
      <c r="B228" s="14">
        <v>21</v>
      </c>
      <c r="C228" s="15" t="s">
        <v>1345</v>
      </c>
      <c r="D228" s="15"/>
      <c r="E228" s="16" t="s">
        <v>1317</v>
      </c>
    </row>
    <row r="229" spans="1:7" ht="20.100000000000001" customHeight="1" x14ac:dyDescent="0.2">
      <c r="A229" s="49"/>
      <c r="B229" s="14">
        <v>22</v>
      </c>
      <c r="C229" s="15" t="s">
        <v>1346</v>
      </c>
      <c r="D229" s="15"/>
      <c r="E229" s="16" t="s">
        <v>1318</v>
      </c>
    </row>
    <row r="230" spans="1:7" ht="20.100000000000001" customHeight="1" x14ac:dyDescent="0.2">
      <c r="A230" s="49"/>
      <c r="B230" s="14">
        <v>23</v>
      </c>
      <c r="C230" s="15" t="s">
        <v>1347</v>
      </c>
      <c r="D230" s="15"/>
      <c r="E230" s="16" t="s">
        <v>1319</v>
      </c>
    </row>
    <row r="231" spans="1:7" ht="20.100000000000001" customHeight="1" x14ac:dyDescent="0.2">
      <c r="A231" s="49"/>
      <c r="B231" s="14">
        <v>24</v>
      </c>
      <c r="C231" s="15" t="s">
        <v>1348</v>
      </c>
      <c r="D231" s="15"/>
      <c r="E231" s="16" t="s">
        <v>1320</v>
      </c>
    </row>
    <row r="232" spans="1:7" ht="20.100000000000001" customHeight="1" x14ac:dyDescent="0.2">
      <c r="A232" s="49"/>
      <c r="B232" s="14">
        <v>25</v>
      </c>
      <c r="C232" s="15" t="s">
        <v>1349</v>
      </c>
      <c r="D232" s="15"/>
      <c r="E232" s="16" t="s">
        <v>1321</v>
      </c>
    </row>
    <row r="233" spans="1:7" ht="20.100000000000001" customHeight="1" x14ac:dyDescent="0.2">
      <c r="A233" s="49"/>
      <c r="B233" s="14">
        <v>26</v>
      </c>
      <c r="C233" s="15" t="s">
        <v>1350</v>
      </c>
      <c r="D233" s="15"/>
      <c r="E233" s="16" t="s">
        <v>1322</v>
      </c>
    </row>
    <row r="234" spans="1:7" ht="20.100000000000001" customHeight="1" x14ac:dyDescent="0.2">
      <c r="A234" s="49"/>
      <c r="B234" s="14">
        <v>27</v>
      </c>
      <c r="C234" s="15" t="s">
        <v>1351</v>
      </c>
      <c r="D234" s="15"/>
      <c r="E234" s="16" t="s">
        <v>1323</v>
      </c>
    </row>
    <row r="235" spans="1:7" ht="20.100000000000001" customHeight="1" x14ac:dyDescent="0.2">
      <c r="A235" s="49"/>
      <c r="B235" s="14">
        <v>28</v>
      </c>
      <c r="C235" s="15" t="s">
        <v>1352</v>
      </c>
      <c r="D235" s="15"/>
      <c r="E235" s="16" t="s">
        <v>1324</v>
      </c>
    </row>
    <row r="236" spans="1:7" ht="20.100000000000001" customHeight="1" x14ac:dyDescent="0.2">
      <c r="A236" s="49"/>
      <c r="B236" s="14">
        <v>29</v>
      </c>
      <c r="C236" s="15" t="s">
        <v>1353</v>
      </c>
      <c r="D236" s="15"/>
      <c r="E236" s="16" t="s">
        <v>1325</v>
      </c>
    </row>
    <row r="237" spans="1:7" ht="20.100000000000001" customHeight="1" x14ac:dyDescent="0.2">
      <c r="A237" s="49"/>
      <c r="B237" s="14">
        <v>30</v>
      </c>
      <c r="C237" s="15" t="s">
        <v>1354</v>
      </c>
      <c r="D237" s="15"/>
      <c r="E237" s="16" t="s">
        <v>1326</v>
      </c>
    </row>
    <row r="238" spans="1:7" ht="20.100000000000001" customHeight="1" x14ac:dyDescent="0.2">
      <c r="A238" s="49"/>
      <c r="B238" s="14">
        <v>31</v>
      </c>
      <c r="C238" s="15" t="s">
        <v>284</v>
      </c>
      <c r="D238" s="15"/>
      <c r="E238" s="16" t="s">
        <v>1327</v>
      </c>
    </row>
    <row r="239" spans="1:7" ht="20.100000000000001" customHeight="1" x14ac:dyDescent="0.2">
      <c r="A239" s="49"/>
      <c r="B239" s="14">
        <v>32</v>
      </c>
      <c r="C239" s="15" t="s">
        <v>285</v>
      </c>
      <c r="D239" s="15"/>
      <c r="E239" s="16" t="s">
        <v>1328</v>
      </c>
    </row>
    <row r="240" spans="1:7" ht="20.100000000000001" customHeight="1" x14ac:dyDescent="0.2">
      <c r="A240" s="49"/>
      <c r="B240" s="14">
        <v>33</v>
      </c>
      <c r="C240" s="15" t="s">
        <v>286</v>
      </c>
      <c r="D240" s="15"/>
      <c r="E240" s="16" t="s">
        <v>1329</v>
      </c>
      <c r="F240" s="14"/>
    </row>
    <row r="241" spans="1:7" ht="20.100000000000001" customHeight="1" x14ac:dyDescent="0.2">
      <c r="A241" s="49"/>
      <c r="B241" s="14">
        <v>34</v>
      </c>
      <c r="C241" s="15" t="s">
        <v>287</v>
      </c>
      <c r="D241" s="15"/>
      <c r="E241" s="16" t="s">
        <v>1330</v>
      </c>
      <c r="F241" s="14"/>
    </row>
    <row r="242" spans="1:7" ht="20.100000000000001" customHeight="1" x14ac:dyDescent="0.2">
      <c r="A242" s="49"/>
      <c r="B242" s="14">
        <v>35</v>
      </c>
      <c r="C242" s="15" t="s">
        <v>288</v>
      </c>
      <c r="D242" s="15"/>
      <c r="E242" s="16" t="s">
        <v>1331</v>
      </c>
      <c r="F242" s="14"/>
    </row>
    <row r="243" spans="1:7" ht="20.100000000000001" customHeight="1" x14ac:dyDescent="0.2">
      <c r="A243" s="49"/>
      <c r="B243" s="14">
        <v>36</v>
      </c>
      <c r="C243" s="15" t="s">
        <v>289</v>
      </c>
      <c r="D243" s="15"/>
      <c r="E243" s="16" t="s">
        <v>1332</v>
      </c>
      <c r="F243" s="14"/>
    </row>
    <row r="244" spans="1:7" ht="20.100000000000001" customHeight="1" x14ac:dyDescent="0.2">
      <c r="A244" s="49"/>
      <c r="B244" s="14">
        <v>37</v>
      </c>
      <c r="C244" s="15" t="s">
        <v>290</v>
      </c>
      <c r="D244" s="15"/>
      <c r="E244" s="16" t="s">
        <v>1333</v>
      </c>
      <c r="F244" s="14"/>
    </row>
    <row r="245" spans="1:7" ht="20.100000000000001" customHeight="1" x14ac:dyDescent="0.2">
      <c r="A245" s="49"/>
      <c r="B245" s="14">
        <v>38</v>
      </c>
      <c r="C245" s="15" t="s">
        <v>291</v>
      </c>
      <c r="D245" s="15"/>
      <c r="E245" s="16" t="s">
        <v>1334</v>
      </c>
      <c r="F245" s="14"/>
    </row>
    <row r="246" spans="1:7" ht="20.100000000000001" customHeight="1" x14ac:dyDescent="0.2">
      <c r="A246" s="49"/>
      <c r="B246" s="14">
        <v>39</v>
      </c>
      <c r="C246" s="15" t="s">
        <v>292</v>
      </c>
      <c r="D246" s="15"/>
      <c r="E246" s="16" t="s">
        <v>1335</v>
      </c>
      <c r="F246" s="14"/>
    </row>
    <row r="247" spans="1:7" ht="20.100000000000001" customHeight="1" x14ac:dyDescent="0.2">
      <c r="A247" s="49"/>
      <c r="B247" s="14">
        <v>40</v>
      </c>
      <c r="C247" s="15" t="s">
        <v>293</v>
      </c>
      <c r="D247" s="15"/>
      <c r="E247" s="16" t="s">
        <v>1336</v>
      </c>
      <c r="F247" s="14"/>
    </row>
    <row r="248" spans="1:7" ht="20.100000000000001" customHeight="1" x14ac:dyDescent="0.2">
      <c r="A248" s="49"/>
      <c r="B248" s="14">
        <v>41</v>
      </c>
      <c r="C248" s="15" t="s">
        <v>294</v>
      </c>
      <c r="D248" s="15"/>
      <c r="E248" s="16" t="s">
        <v>1337</v>
      </c>
      <c r="F248" s="14"/>
    </row>
    <row r="249" spans="1:7" ht="20.100000000000001" customHeight="1" x14ac:dyDescent="0.2">
      <c r="A249" s="49"/>
      <c r="B249" s="14">
        <v>42</v>
      </c>
      <c r="C249" s="15" t="s">
        <v>295</v>
      </c>
      <c r="D249" s="15"/>
      <c r="E249" s="16" t="s">
        <v>1338</v>
      </c>
      <c r="F249" s="14"/>
    </row>
    <row r="250" spans="1:7" ht="20.100000000000001" customHeight="1" x14ac:dyDescent="0.2">
      <c r="A250" s="49"/>
      <c r="B250" s="14">
        <v>43</v>
      </c>
      <c r="C250" s="15" t="s">
        <v>296</v>
      </c>
      <c r="D250" s="15"/>
      <c r="E250" s="16" t="s">
        <v>1339</v>
      </c>
      <c r="F250" s="14"/>
    </row>
    <row r="251" spans="1:7" ht="20.100000000000001" customHeight="1" x14ac:dyDescent="0.2">
      <c r="A251" s="49"/>
      <c r="B251" s="14">
        <v>44</v>
      </c>
      <c r="C251" s="15" t="s">
        <v>297</v>
      </c>
      <c r="D251" s="15"/>
      <c r="E251" s="16" t="s">
        <v>1340</v>
      </c>
      <c r="F251" s="14"/>
    </row>
    <row r="252" spans="1:7" ht="20.100000000000001" customHeight="1" x14ac:dyDescent="0.2">
      <c r="A252" s="49"/>
      <c r="B252" s="14">
        <v>45</v>
      </c>
      <c r="C252" s="15" t="s">
        <v>298</v>
      </c>
      <c r="D252" s="15"/>
      <c r="E252" s="16" t="s">
        <v>1341</v>
      </c>
      <c r="F252" s="14"/>
    </row>
    <row r="253" spans="1:7" ht="20.100000000000001" customHeight="1" x14ac:dyDescent="0.2">
      <c r="A253" s="56"/>
      <c r="B253" s="14">
        <v>46</v>
      </c>
      <c r="C253" s="15" t="s">
        <v>299</v>
      </c>
      <c r="D253" s="15"/>
      <c r="E253" s="16" t="s">
        <v>1342</v>
      </c>
      <c r="F253" s="14"/>
    </row>
    <row r="254" spans="1:7" ht="20.100000000000001" customHeight="1" x14ac:dyDescent="0.2">
      <c r="A254" s="53" t="s">
        <v>263</v>
      </c>
      <c r="B254" s="30">
        <v>0</v>
      </c>
      <c r="C254" s="31" t="s">
        <v>714</v>
      </c>
      <c r="D254" s="31"/>
      <c r="E254" s="32" t="s">
        <v>806</v>
      </c>
      <c r="F254" s="32"/>
      <c r="G254" s="31"/>
    </row>
    <row r="255" spans="1:7" ht="20.100000000000001" customHeight="1" x14ac:dyDescent="0.2">
      <c r="A255" s="54"/>
      <c r="B255" s="30">
        <v>1</v>
      </c>
      <c r="C255" s="31" t="s">
        <v>1198</v>
      </c>
      <c r="D255" s="31"/>
      <c r="E255" s="32" t="s">
        <v>850</v>
      </c>
      <c r="F255" s="32"/>
      <c r="G255" s="31"/>
    </row>
    <row r="256" spans="1:7" ht="20.100000000000001" customHeight="1" x14ac:dyDescent="0.2">
      <c r="A256" s="54"/>
      <c r="B256" s="30">
        <v>2</v>
      </c>
      <c r="C256" s="31" t="s">
        <v>1199</v>
      </c>
      <c r="D256" s="31"/>
      <c r="E256" s="32" t="s">
        <v>807</v>
      </c>
      <c r="F256" s="32"/>
      <c r="G256" s="31"/>
    </row>
    <row r="257" spans="1:7" ht="20.100000000000001" customHeight="1" x14ac:dyDescent="0.2">
      <c r="A257" s="54"/>
      <c r="B257" s="30">
        <v>3</v>
      </c>
      <c r="C257" s="31" t="s">
        <v>1200</v>
      </c>
      <c r="D257" s="31"/>
      <c r="E257" s="32" t="s">
        <v>808</v>
      </c>
      <c r="F257" s="32"/>
      <c r="G257" s="31"/>
    </row>
    <row r="258" spans="1:7" ht="20.100000000000001" customHeight="1" x14ac:dyDescent="0.2">
      <c r="A258" s="54"/>
      <c r="B258" s="30">
        <v>4</v>
      </c>
      <c r="C258" s="31" t="s">
        <v>1201</v>
      </c>
      <c r="D258" s="31"/>
      <c r="E258" s="32" t="s">
        <v>809</v>
      </c>
      <c r="F258" s="32"/>
      <c r="G258" s="31"/>
    </row>
    <row r="259" spans="1:7" ht="20.100000000000001" customHeight="1" x14ac:dyDescent="0.2">
      <c r="A259" s="54"/>
      <c r="B259" s="30">
        <v>5</v>
      </c>
      <c r="C259" s="31" t="s">
        <v>1202</v>
      </c>
      <c r="D259" s="31"/>
      <c r="E259" s="32" t="s">
        <v>849</v>
      </c>
      <c r="F259" s="32"/>
      <c r="G259" s="31"/>
    </row>
    <row r="260" spans="1:7" ht="20.100000000000001" customHeight="1" x14ac:dyDescent="0.2">
      <c r="A260" s="54"/>
      <c r="B260" s="30">
        <v>6</v>
      </c>
      <c r="C260" s="31" t="s">
        <v>1203</v>
      </c>
      <c r="D260" s="31"/>
      <c r="E260" s="32" t="s">
        <v>814</v>
      </c>
      <c r="F260" s="30"/>
      <c r="G260" s="31"/>
    </row>
    <row r="261" spans="1:7" ht="20.100000000000001" customHeight="1" x14ac:dyDescent="0.2">
      <c r="A261" s="54"/>
      <c r="B261" s="30">
        <v>7</v>
      </c>
      <c r="C261" s="31" t="s">
        <v>1204</v>
      </c>
      <c r="D261" s="31"/>
      <c r="E261" s="32" t="s">
        <v>554</v>
      </c>
      <c r="F261" s="30"/>
      <c r="G261" s="31"/>
    </row>
    <row r="262" spans="1:7" ht="20.100000000000001" customHeight="1" x14ac:dyDescent="0.2">
      <c r="A262" s="54"/>
      <c r="B262" s="30">
        <v>8</v>
      </c>
      <c r="C262" s="31" t="s">
        <v>1205</v>
      </c>
      <c r="D262" s="31"/>
      <c r="E262" s="32" t="s">
        <v>555</v>
      </c>
      <c r="F262" s="30"/>
      <c r="G262" s="31"/>
    </row>
    <row r="263" spans="1:7" ht="20.100000000000001" customHeight="1" x14ac:dyDescent="0.2">
      <c r="A263" s="54"/>
      <c r="B263" s="30">
        <v>9</v>
      </c>
      <c r="C263" s="31" t="s">
        <v>1206</v>
      </c>
      <c r="D263" s="31"/>
      <c r="E263" s="32" t="s">
        <v>227</v>
      </c>
      <c r="F263" s="30"/>
      <c r="G263" s="31"/>
    </row>
    <row r="264" spans="1:7" ht="20.100000000000001" customHeight="1" x14ac:dyDescent="0.2">
      <c r="A264" s="54"/>
      <c r="B264" s="30">
        <v>10</v>
      </c>
      <c r="C264" s="31" t="s">
        <v>1207</v>
      </c>
      <c r="D264" s="31"/>
      <c r="E264" s="32" t="s">
        <v>228</v>
      </c>
      <c r="F264" s="30"/>
      <c r="G264" s="31"/>
    </row>
    <row r="265" spans="1:7" ht="20.100000000000001" customHeight="1" x14ac:dyDescent="0.2">
      <c r="A265" s="54"/>
      <c r="B265" s="30">
        <v>11</v>
      </c>
      <c r="C265" s="31" t="s">
        <v>1208</v>
      </c>
      <c r="D265" s="31"/>
      <c r="E265" s="32" t="s">
        <v>229</v>
      </c>
      <c r="F265" s="30"/>
      <c r="G265" s="31"/>
    </row>
    <row r="266" spans="1:7" ht="20.100000000000001" customHeight="1" x14ac:dyDescent="0.2">
      <c r="A266" s="54"/>
      <c r="B266" s="30">
        <v>12</v>
      </c>
      <c r="C266" s="31" t="s">
        <v>1209</v>
      </c>
      <c r="D266" s="31"/>
      <c r="E266" s="32" t="s">
        <v>230</v>
      </c>
      <c r="F266" s="30"/>
      <c r="G266" s="31"/>
    </row>
    <row r="267" spans="1:7" ht="20.100000000000001" customHeight="1" x14ac:dyDescent="0.2">
      <c r="A267" s="54"/>
      <c r="B267" s="30">
        <v>13</v>
      </c>
      <c r="C267" s="31" t="s">
        <v>1210</v>
      </c>
      <c r="D267" s="31"/>
      <c r="E267" s="32" t="s">
        <v>231</v>
      </c>
      <c r="F267" s="30"/>
      <c r="G267" s="31"/>
    </row>
    <row r="268" spans="1:7" ht="20.100000000000001" customHeight="1" x14ac:dyDescent="0.2">
      <c r="A268" s="54"/>
      <c r="B268" s="30">
        <v>14</v>
      </c>
      <c r="C268" s="31" t="s">
        <v>1211</v>
      </c>
      <c r="D268" s="31"/>
      <c r="E268" s="32" t="s">
        <v>232</v>
      </c>
      <c r="F268" s="30"/>
      <c r="G268" s="31"/>
    </row>
    <row r="269" spans="1:7" ht="20.100000000000001" customHeight="1" x14ac:dyDescent="0.2">
      <c r="A269" s="54"/>
      <c r="B269" s="30">
        <v>15</v>
      </c>
      <c r="C269" s="31" t="s">
        <v>1212</v>
      </c>
      <c r="D269" s="31"/>
      <c r="E269" s="32" t="s">
        <v>233</v>
      </c>
      <c r="F269" s="30"/>
      <c r="G269" s="31"/>
    </row>
    <row r="270" spans="1:7" ht="20.100000000000001" customHeight="1" x14ac:dyDescent="0.2">
      <c r="A270" s="54"/>
      <c r="B270" s="30">
        <v>16</v>
      </c>
      <c r="C270" s="31" t="s">
        <v>1213</v>
      </c>
      <c r="D270" s="31"/>
      <c r="E270" s="32" t="s">
        <v>234</v>
      </c>
      <c r="F270" s="30"/>
      <c r="G270" s="31"/>
    </row>
    <row r="271" spans="1:7" ht="20.100000000000001" customHeight="1" x14ac:dyDescent="0.2">
      <c r="A271" s="54"/>
      <c r="B271" s="30">
        <v>17</v>
      </c>
      <c r="C271" s="31" t="s">
        <v>1214</v>
      </c>
      <c r="D271" s="31"/>
      <c r="E271" s="32" t="s">
        <v>235</v>
      </c>
      <c r="F271" s="30"/>
      <c r="G271" s="31"/>
    </row>
    <row r="272" spans="1:7" ht="20.100000000000001" customHeight="1" x14ac:dyDescent="0.2">
      <c r="A272" s="54"/>
      <c r="B272" s="30">
        <v>18</v>
      </c>
      <c r="C272" s="31" t="s">
        <v>1215</v>
      </c>
      <c r="D272" s="31"/>
      <c r="E272" s="32" t="s">
        <v>236</v>
      </c>
      <c r="F272" s="30"/>
      <c r="G272" s="31"/>
    </row>
    <row r="273" spans="1:7" ht="20.100000000000001" customHeight="1" x14ac:dyDescent="0.2">
      <c r="A273" s="54"/>
      <c r="B273" s="30">
        <v>19</v>
      </c>
      <c r="C273" s="31" t="s">
        <v>1216</v>
      </c>
      <c r="D273" s="31"/>
      <c r="E273" s="32" t="s">
        <v>237</v>
      </c>
      <c r="F273" s="30"/>
      <c r="G273" s="31"/>
    </row>
    <row r="274" spans="1:7" ht="20.100000000000001" customHeight="1" x14ac:dyDescent="0.2">
      <c r="A274" s="54"/>
      <c r="B274" s="30">
        <v>20</v>
      </c>
      <c r="C274" s="31" t="s">
        <v>1217</v>
      </c>
      <c r="D274" s="31"/>
      <c r="E274" s="32" t="s">
        <v>238</v>
      </c>
      <c r="F274" s="30"/>
      <c r="G274" s="31"/>
    </row>
    <row r="275" spans="1:7" ht="20.100000000000001" customHeight="1" x14ac:dyDescent="0.2">
      <c r="A275" s="54"/>
      <c r="B275" s="30">
        <v>21</v>
      </c>
      <c r="C275" s="31" t="s">
        <v>1218</v>
      </c>
      <c r="D275" s="31"/>
      <c r="E275" s="32" t="s">
        <v>1164</v>
      </c>
      <c r="F275" s="31"/>
      <c r="G275" s="31"/>
    </row>
    <row r="276" spans="1:7" ht="20.100000000000001" customHeight="1" x14ac:dyDescent="0.2">
      <c r="A276" s="54"/>
      <c r="B276" s="30">
        <v>22</v>
      </c>
      <c r="C276" s="31" t="s">
        <v>1219</v>
      </c>
      <c r="D276" s="31"/>
      <c r="E276" s="32" t="s">
        <v>1165</v>
      </c>
      <c r="F276" s="31"/>
      <c r="G276" s="31"/>
    </row>
    <row r="277" spans="1:7" ht="20.100000000000001" customHeight="1" x14ac:dyDescent="0.2">
      <c r="A277" s="54"/>
      <c r="B277" s="30">
        <v>23</v>
      </c>
      <c r="C277" s="31" t="s">
        <v>1220</v>
      </c>
      <c r="D277" s="31"/>
      <c r="E277" s="32" t="s">
        <v>1166</v>
      </c>
      <c r="F277" s="31"/>
      <c r="G277" s="31"/>
    </row>
    <row r="278" spans="1:7" ht="20.100000000000001" customHeight="1" x14ac:dyDescent="0.2">
      <c r="A278" s="54"/>
      <c r="B278" s="30">
        <v>24</v>
      </c>
      <c r="C278" s="31" t="s">
        <v>1221</v>
      </c>
      <c r="D278" s="31"/>
      <c r="E278" s="32" t="s">
        <v>1167</v>
      </c>
      <c r="F278" s="31"/>
      <c r="G278" s="31"/>
    </row>
    <row r="279" spans="1:7" ht="20.100000000000001" customHeight="1" x14ac:dyDescent="0.2">
      <c r="A279" s="54"/>
      <c r="B279" s="30">
        <v>25</v>
      </c>
      <c r="C279" s="31" t="s">
        <v>1222</v>
      </c>
      <c r="D279" s="31"/>
      <c r="E279" s="32" t="s">
        <v>1168</v>
      </c>
      <c r="F279" s="31"/>
      <c r="G279" s="31"/>
    </row>
    <row r="280" spans="1:7" ht="20.100000000000001" customHeight="1" x14ac:dyDescent="0.2">
      <c r="A280" s="54"/>
      <c r="B280" s="30">
        <v>26</v>
      </c>
      <c r="C280" s="31" t="s">
        <v>1223</v>
      </c>
      <c r="D280" s="31"/>
      <c r="E280" s="32" t="s">
        <v>1169</v>
      </c>
      <c r="F280" s="31"/>
      <c r="G280" s="31"/>
    </row>
    <row r="281" spans="1:7" ht="20.100000000000001" customHeight="1" x14ac:dyDescent="0.2">
      <c r="A281" s="54"/>
      <c r="B281" s="30">
        <v>27</v>
      </c>
      <c r="C281" s="31" t="s">
        <v>1224</v>
      </c>
      <c r="D281" s="31"/>
      <c r="E281" s="32" t="s">
        <v>1170</v>
      </c>
      <c r="F281" s="31"/>
      <c r="G281" s="31"/>
    </row>
    <row r="282" spans="1:7" ht="20.100000000000001" customHeight="1" x14ac:dyDescent="0.2">
      <c r="A282" s="54"/>
      <c r="B282" s="30">
        <v>28</v>
      </c>
      <c r="C282" s="31" t="s">
        <v>1225</v>
      </c>
      <c r="D282" s="31"/>
      <c r="E282" s="32" t="s">
        <v>1171</v>
      </c>
      <c r="F282" s="31"/>
      <c r="G282" s="31"/>
    </row>
    <row r="283" spans="1:7" ht="20.100000000000001" customHeight="1" x14ac:dyDescent="0.2">
      <c r="A283" s="54"/>
      <c r="B283" s="30">
        <v>29</v>
      </c>
      <c r="C283" s="31" t="s">
        <v>1226</v>
      </c>
      <c r="D283" s="31"/>
      <c r="E283" s="32" t="s">
        <v>1172</v>
      </c>
      <c r="F283" s="31"/>
      <c r="G283" s="31"/>
    </row>
    <row r="284" spans="1:7" ht="20.100000000000001" customHeight="1" x14ac:dyDescent="0.2">
      <c r="A284" s="54"/>
      <c r="B284" s="30">
        <v>30</v>
      </c>
      <c r="C284" s="31" t="s">
        <v>1227</v>
      </c>
      <c r="D284" s="31"/>
      <c r="E284" s="32" t="s">
        <v>1173</v>
      </c>
      <c r="F284" s="31"/>
      <c r="G284" s="31"/>
    </row>
    <row r="285" spans="1:7" ht="20.100000000000001" customHeight="1" x14ac:dyDescent="0.2">
      <c r="A285" s="54"/>
      <c r="B285" s="30">
        <v>31</v>
      </c>
      <c r="C285" s="31" t="s">
        <v>1228</v>
      </c>
      <c r="D285" s="31"/>
      <c r="E285" s="32" t="s">
        <v>1174</v>
      </c>
      <c r="F285" s="31"/>
      <c r="G285" s="31"/>
    </row>
    <row r="286" spans="1:7" ht="20.100000000000001" customHeight="1" x14ac:dyDescent="0.2">
      <c r="A286" s="54"/>
      <c r="B286" s="30">
        <v>32</v>
      </c>
      <c r="C286" s="31" t="s">
        <v>1229</v>
      </c>
      <c r="D286" s="31"/>
      <c r="E286" s="32" t="s">
        <v>1175</v>
      </c>
      <c r="F286" s="31"/>
      <c r="G286" s="31"/>
    </row>
    <row r="287" spans="1:7" ht="20.100000000000001" customHeight="1" x14ac:dyDescent="0.2">
      <c r="A287" s="54"/>
      <c r="B287" s="30">
        <v>33</v>
      </c>
      <c r="C287" s="31" t="s">
        <v>1230</v>
      </c>
      <c r="D287" s="31"/>
      <c r="E287" s="32" t="s">
        <v>1176</v>
      </c>
      <c r="F287" s="30"/>
      <c r="G287" s="31"/>
    </row>
    <row r="288" spans="1:7" ht="20.100000000000001" customHeight="1" x14ac:dyDescent="0.2">
      <c r="A288" s="54"/>
      <c r="B288" s="30">
        <v>34</v>
      </c>
      <c r="C288" s="31" t="s">
        <v>1231</v>
      </c>
      <c r="D288" s="31"/>
      <c r="E288" s="32" t="s">
        <v>1177</v>
      </c>
      <c r="F288" s="30"/>
      <c r="G288" s="31"/>
    </row>
    <row r="289" spans="1:7" ht="20.100000000000001" customHeight="1" x14ac:dyDescent="0.2">
      <c r="A289" s="54"/>
      <c r="B289" s="30">
        <v>35</v>
      </c>
      <c r="C289" s="31" t="s">
        <v>1232</v>
      </c>
      <c r="D289" s="31"/>
      <c r="E289" s="32" t="s">
        <v>1178</v>
      </c>
      <c r="F289" s="30"/>
      <c r="G289" s="31"/>
    </row>
    <row r="290" spans="1:7" ht="20.100000000000001" customHeight="1" x14ac:dyDescent="0.2">
      <c r="A290" s="54"/>
      <c r="B290" s="30">
        <v>36</v>
      </c>
      <c r="C290" s="31" t="s">
        <v>1233</v>
      </c>
      <c r="D290" s="31"/>
      <c r="E290" s="32" t="s">
        <v>1179</v>
      </c>
      <c r="F290" s="30"/>
      <c r="G290" s="31"/>
    </row>
    <row r="291" spans="1:7" ht="20.100000000000001" customHeight="1" x14ac:dyDescent="0.2">
      <c r="A291" s="54"/>
      <c r="B291" s="30">
        <v>37</v>
      </c>
      <c r="C291" s="31" t="s">
        <v>1234</v>
      </c>
      <c r="D291" s="31"/>
      <c r="E291" s="32" t="s">
        <v>1180</v>
      </c>
      <c r="F291" s="30"/>
      <c r="G291" s="31"/>
    </row>
    <row r="292" spans="1:7" ht="20.100000000000001" customHeight="1" x14ac:dyDescent="0.2">
      <c r="A292" s="54"/>
      <c r="B292" s="30">
        <v>38</v>
      </c>
      <c r="C292" s="31" t="s">
        <v>1235</v>
      </c>
      <c r="D292" s="31"/>
      <c r="E292" s="32" t="s">
        <v>1181</v>
      </c>
      <c r="F292" s="30"/>
      <c r="G292" s="31"/>
    </row>
    <row r="293" spans="1:7" ht="20.100000000000001" customHeight="1" x14ac:dyDescent="0.2">
      <c r="A293" s="54"/>
      <c r="B293" s="30">
        <v>39</v>
      </c>
      <c r="C293" s="31" t="s">
        <v>1236</v>
      </c>
      <c r="D293" s="31"/>
      <c r="E293" s="32" t="s">
        <v>1182</v>
      </c>
      <c r="F293" s="30"/>
      <c r="G293" s="31"/>
    </row>
    <row r="294" spans="1:7" ht="20.100000000000001" customHeight="1" x14ac:dyDescent="0.2">
      <c r="A294" s="54"/>
      <c r="B294" s="30">
        <v>40</v>
      </c>
      <c r="C294" s="31" t="s">
        <v>1237</v>
      </c>
      <c r="D294" s="31"/>
      <c r="E294" s="32" t="s">
        <v>1183</v>
      </c>
      <c r="F294" s="30"/>
      <c r="G294" s="31"/>
    </row>
    <row r="295" spans="1:7" ht="20.100000000000001" customHeight="1" x14ac:dyDescent="0.2">
      <c r="A295" s="54"/>
      <c r="B295" s="30">
        <v>41</v>
      </c>
      <c r="C295" s="31" t="s">
        <v>1238</v>
      </c>
      <c r="D295" s="31"/>
      <c r="E295" s="32" t="s">
        <v>1184</v>
      </c>
      <c r="F295" s="30"/>
      <c r="G295" s="31"/>
    </row>
    <row r="296" spans="1:7" ht="20.100000000000001" customHeight="1" x14ac:dyDescent="0.2">
      <c r="A296" s="54"/>
      <c r="B296" s="30">
        <v>42</v>
      </c>
      <c r="C296" s="31" t="s">
        <v>1239</v>
      </c>
      <c r="D296" s="31"/>
      <c r="E296" s="32" t="s">
        <v>1185</v>
      </c>
      <c r="F296" s="30"/>
      <c r="G296" s="31"/>
    </row>
    <row r="297" spans="1:7" ht="20.100000000000001" customHeight="1" x14ac:dyDescent="0.2">
      <c r="A297" s="54"/>
      <c r="B297" s="30">
        <v>43</v>
      </c>
      <c r="C297" s="31" t="s">
        <v>1240</v>
      </c>
      <c r="D297" s="31"/>
      <c r="E297" s="32" t="s">
        <v>1186</v>
      </c>
      <c r="F297" s="30"/>
      <c r="G297" s="31"/>
    </row>
    <row r="298" spans="1:7" ht="20.100000000000001" customHeight="1" x14ac:dyDescent="0.2">
      <c r="A298" s="54"/>
      <c r="B298" s="30">
        <v>44</v>
      </c>
      <c r="C298" s="31" t="s">
        <v>1241</v>
      </c>
      <c r="D298" s="31"/>
      <c r="E298" s="32" t="s">
        <v>1187</v>
      </c>
      <c r="F298" s="30"/>
      <c r="G298" s="31"/>
    </row>
    <row r="299" spans="1:7" ht="20.100000000000001" customHeight="1" x14ac:dyDescent="0.2">
      <c r="A299" s="54"/>
      <c r="B299" s="30">
        <v>45</v>
      </c>
      <c r="C299" s="31" t="s">
        <v>1311</v>
      </c>
      <c r="D299" s="31"/>
      <c r="E299" s="32" t="s">
        <v>1315</v>
      </c>
      <c r="F299" s="30"/>
      <c r="G299" s="31"/>
    </row>
    <row r="300" spans="1:7" ht="20.100000000000001" customHeight="1" x14ac:dyDescent="0.2">
      <c r="A300" s="55"/>
      <c r="B300" s="30">
        <v>46</v>
      </c>
      <c r="C300" s="31" t="s">
        <v>1312</v>
      </c>
      <c r="D300" s="31"/>
      <c r="E300" s="32" t="s">
        <v>1316</v>
      </c>
      <c r="F300" s="30"/>
      <c r="G300" s="31"/>
    </row>
    <row r="301" spans="1:7" ht="20.100000000000001" customHeight="1" x14ac:dyDescent="0.2">
      <c r="A301" s="48" t="s">
        <v>264</v>
      </c>
      <c r="B301" s="14">
        <v>0</v>
      </c>
      <c r="C301" s="15" t="s">
        <v>1242</v>
      </c>
      <c r="D301" s="15"/>
      <c r="E301" s="16" t="s">
        <v>810</v>
      </c>
      <c r="F301" s="14"/>
      <c r="G301" s="15" t="s">
        <v>862</v>
      </c>
    </row>
    <row r="302" spans="1:7" ht="20.100000000000001" customHeight="1" x14ac:dyDescent="0.2">
      <c r="A302" s="49"/>
      <c r="B302" s="14">
        <v>1</v>
      </c>
      <c r="C302" s="15" t="s">
        <v>1267</v>
      </c>
      <c r="D302" s="15"/>
      <c r="E302" s="16" t="s">
        <v>854</v>
      </c>
      <c r="F302" s="14"/>
      <c r="G302" s="15" t="s">
        <v>863</v>
      </c>
    </row>
    <row r="303" spans="1:7" ht="20.100000000000001" customHeight="1" x14ac:dyDescent="0.2">
      <c r="A303" s="49"/>
      <c r="B303" s="14">
        <v>2</v>
      </c>
      <c r="C303" s="15" t="s">
        <v>1268</v>
      </c>
      <c r="D303" s="15"/>
      <c r="E303" s="16" t="s">
        <v>811</v>
      </c>
      <c r="F303" s="14"/>
      <c r="G303" s="15" t="s">
        <v>864</v>
      </c>
    </row>
    <row r="304" spans="1:7" ht="20.100000000000001" customHeight="1" x14ac:dyDescent="0.2">
      <c r="A304" s="49"/>
      <c r="B304" s="14">
        <v>3</v>
      </c>
      <c r="C304" s="15" t="s">
        <v>1269</v>
      </c>
      <c r="D304" s="15"/>
      <c r="E304" s="16" t="s">
        <v>812</v>
      </c>
      <c r="F304" s="14"/>
      <c r="G304" s="15" t="s">
        <v>865</v>
      </c>
    </row>
    <row r="305" spans="1:7" ht="20.100000000000001" customHeight="1" x14ac:dyDescent="0.2">
      <c r="A305" s="49"/>
      <c r="B305" s="14">
        <v>4</v>
      </c>
      <c r="C305" s="15" t="s">
        <v>1270</v>
      </c>
      <c r="D305" s="15"/>
      <c r="E305" s="16" t="s">
        <v>813</v>
      </c>
      <c r="F305" s="14"/>
      <c r="G305" s="15" t="s">
        <v>866</v>
      </c>
    </row>
    <row r="306" spans="1:7" ht="20.100000000000001" customHeight="1" x14ac:dyDescent="0.2">
      <c r="A306" s="49"/>
      <c r="B306" s="14">
        <v>5</v>
      </c>
      <c r="C306" s="15" t="s">
        <v>1271</v>
      </c>
      <c r="D306" s="15"/>
      <c r="E306" s="16" t="s">
        <v>851</v>
      </c>
      <c r="F306" s="14"/>
      <c r="G306" s="15" t="s">
        <v>867</v>
      </c>
    </row>
    <row r="307" spans="1:7" ht="20.100000000000001" customHeight="1" x14ac:dyDescent="0.2">
      <c r="A307" s="49"/>
      <c r="B307" s="14">
        <v>6</v>
      </c>
      <c r="C307" s="15" t="s">
        <v>1272</v>
      </c>
      <c r="D307" s="15"/>
      <c r="E307" s="16" t="s">
        <v>815</v>
      </c>
      <c r="F307" s="14"/>
      <c r="G307" s="15" t="s">
        <v>868</v>
      </c>
    </row>
    <row r="308" spans="1:7" ht="20.100000000000001" customHeight="1" x14ac:dyDescent="0.2">
      <c r="A308" s="49"/>
      <c r="B308" s="14">
        <v>7</v>
      </c>
      <c r="C308" s="15" t="s">
        <v>1273</v>
      </c>
      <c r="D308" s="15"/>
      <c r="E308" s="16" t="s">
        <v>552</v>
      </c>
      <c r="F308" s="14"/>
      <c r="G308" s="15" t="s">
        <v>869</v>
      </c>
    </row>
    <row r="309" spans="1:7" ht="20.100000000000001" customHeight="1" x14ac:dyDescent="0.2">
      <c r="A309" s="49"/>
      <c r="B309" s="14">
        <v>8</v>
      </c>
      <c r="C309" s="15" t="s">
        <v>1274</v>
      </c>
      <c r="D309" s="15"/>
      <c r="E309" s="16" t="s">
        <v>553</v>
      </c>
      <c r="F309" s="14"/>
      <c r="G309" s="15" t="s">
        <v>870</v>
      </c>
    </row>
    <row r="310" spans="1:7" ht="20.100000000000001" customHeight="1" x14ac:dyDescent="0.2">
      <c r="A310" s="49"/>
      <c r="B310" s="14">
        <v>9</v>
      </c>
      <c r="C310" s="15" t="s">
        <v>1275</v>
      </c>
      <c r="D310" s="15"/>
      <c r="E310" s="16" t="s">
        <v>239</v>
      </c>
      <c r="F310" s="14"/>
      <c r="G310" s="15" t="s">
        <v>855</v>
      </c>
    </row>
    <row r="311" spans="1:7" ht="20.100000000000001" customHeight="1" x14ac:dyDescent="0.2">
      <c r="A311" s="49"/>
      <c r="B311" s="14">
        <v>10</v>
      </c>
      <c r="C311" s="15" t="s">
        <v>1276</v>
      </c>
      <c r="D311" s="15"/>
      <c r="E311" s="16" t="s">
        <v>240</v>
      </c>
      <c r="F311" s="14"/>
      <c r="G311" s="15" t="s">
        <v>843</v>
      </c>
    </row>
    <row r="312" spans="1:7" ht="20.100000000000001" customHeight="1" x14ac:dyDescent="0.2">
      <c r="A312" s="49"/>
      <c r="B312" s="14">
        <v>11</v>
      </c>
      <c r="C312" s="15" t="s">
        <v>1277</v>
      </c>
      <c r="D312" s="15"/>
      <c r="E312" s="16" t="s">
        <v>241</v>
      </c>
      <c r="F312" s="14"/>
      <c r="G312" s="15" t="s">
        <v>844</v>
      </c>
    </row>
    <row r="313" spans="1:7" ht="20.100000000000001" customHeight="1" x14ac:dyDescent="0.2">
      <c r="A313" s="49"/>
      <c r="B313" s="14">
        <v>12</v>
      </c>
      <c r="C313" s="15" t="s">
        <v>1278</v>
      </c>
      <c r="D313" s="15"/>
      <c r="E313" s="16" t="s">
        <v>242</v>
      </c>
      <c r="F313" s="14"/>
      <c r="G313" s="15" t="s">
        <v>845</v>
      </c>
    </row>
    <row r="314" spans="1:7" ht="20.100000000000001" customHeight="1" x14ac:dyDescent="0.2">
      <c r="A314" s="49"/>
      <c r="B314" s="14">
        <v>13</v>
      </c>
      <c r="C314" s="15" t="s">
        <v>1279</v>
      </c>
      <c r="D314" s="15"/>
      <c r="E314" s="16" t="s">
        <v>243</v>
      </c>
      <c r="F314" s="14"/>
      <c r="G314" s="15" t="s">
        <v>852</v>
      </c>
    </row>
    <row r="315" spans="1:7" ht="20.100000000000001" customHeight="1" x14ac:dyDescent="0.2">
      <c r="A315" s="49"/>
      <c r="B315" s="14">
        <v>14</v>
      </c>
      <c r="C315" s="15" t="s">
        <v>1280</v>
      </c>
      <c r="D315" s="15"/>
      <c r="E315" s="16" t="s">
        <v>244</v>
      </c>
      <c r="F315" s="14"/>
      <c r="G315" s="15" t="s">
        <v>853</v>
      </c>
    </row>
    <row r="316" spans="1:7" ht="20.100000000000001" customHeight="1" x14ac:dyDescent="0.2">
      <c r="A316" s="49"/>
      <c r="B316" s="14">
        <v>15</v>
      </c>
      <c r="C316" s="15" t="s">
        <v>1281</v>
      </c>
      <c r="D316" s="15"/>
      <c r="E316" s="16" t="s">
        <v>245</v>
      </c>
      <c r="F316" s="14"/>
      <c r="G316" s="15" t="s">
        <v>856</v>
      </c>
    </row>
    <row r="317" spans="1:7" ht="20.100000000000001" customHeight="1" x14ac:dyDescent="0.2">
      <c r="A317" s="49"/>
      <c r="B317" s="14">
        <v>16</v>
      </c>
      <c r="C317" s="15" t="s">
        <v>1282</v>
      </c>
      <c r="D317" s="15"/>
      <c r="E317" s="16" t="s">
        <v>246</v>
      </c>
      <c r="F317" s="14"/>
      <c r="G317" s="15" t="s">
        <v>857</v>
      </c>
    </row>
    <row r="318" spans="1:7" ht="20.100000000000001" customHeight="1" x14ac:dyDescent="0.2">
      <c r="A318" s="49"/>
      <c r="B318" s="14">
        <v>17</v>
      </c>
      <c r="C318" s="15" t="s">
        <v>1283</v>
      </c>
      <c r="D318" s="15"/>
      <c r="E318" s="16" t="s">
        <v>247</v>
      </c>
      <c r="F318" s="14"/>
      <c r="G318" s="15" t="s">
        <v>858</v>
      </c>
    </row>
    <row r="319" spans="1:7" ht="20.100000000000001" customHeight="1" x14ac:dyDescent="0.2">
      <c r="A319" s="49"/>
      <c r="B319" s="14">
        <v>18</v>
      </c>
      <c r="C319" s="15" t="s">
        <v>1284</v>
      </c>
      <c r="D319" s="15"/>
      <c r="E319" s="16" t="s">
        <v>248</v>
      </c>
      <c r="F319" s="14"/>
      <c r="G319" s="15" t="s">
        <v>859</v>
      </c>
    </row>
    <row r="320" spans="1:7" ht="20.100000000000001" customHeight="1" x14ac:dyDescent="0.2">
      <c r="A320" s="49"/>
      <c r="B320" s="14">
        <v>19</v>
      </c>
      <c r="C320" s="15" t="s">
        <v>1285</v>
      </c>
      <c r="D320" s="15"/>
      <c r="E320" s="16" t="s">
        <v>249</v>
      </c>
      <c r="F320" s="14"/>
      <c r="G320" s="15" t="s">
        <v>860</v>
      </c>
    </row>
    <row r="321" spans="1:7" ht="20.100000000000001" customHeight="1" x14ac:dyDescent="0.2">
      <c r="A321" s="49"/>
      <c r="B321" s="14">
        <v>20</v>
      </c>
      <c r="C321" s="15" t="s">
        <v>1286</v>
      </c>
      <c r="D321" s="15"/>
      <c r="E321" s="16" t="s">
        <v>250</v>
      </c>
      <c r="F321" s="14"/>
      <c r="G321" s="15" t="s">
        <v>861</v>
      </c>
    </row>
    <row r="322" spans="1:7" ht="20.100000000000001" customHeight="1" x14ac:dyDescent="0.2">
      <c r="A322" s="49"/>
      <c r="B322" s="14">
        <v>21</v>
      </c>
      <c r="C322" s="15" t="s">
        <v>1287</v>
      </c>
      <c r="D322" s="15"/>
      <c r="E322" s="16" t="s">
        <v>1243</v>
      </c>
      <c r="F322" s="14"/>
      <c r="G322" s="15"/>
    </row>
    <row r="323" spans="1:7" ht="20.100000000000001" customHeight="1" x14ac:dyDescent="0.2">
      <c r="A323" s="49"/>
      <c r="B323" s="14">
        <v>22</v>
      </c>
      <c r="C323" s="15" t="s">
        <v>1288</v>
      </c>
      <c r="D323" s="15"/>
      <c r="E323" s="16" t="s">
        <v>1244</v>
      </c>
      <c r="F323" s="14"/>
      <c r="G323" s="15"/>
    </row>
    <row r="324" spans="1:7" ht="20.100000000000001" customHeight="1" x14ac:dyDescent="0.2">
      <c r="A324" s="49"/>
      <c r="B324" s="14">
        <v>23</v>
      </c>
      <c r="C324" s="15" t="s">
        <v>1289</v>
      </c>
      <c r="D324" s="15"/>
      <c r="E324" s="16" t="s">
        <v>1245</v>
      </c>
      <c r="F324" s="14"/>
      <c r="G324" s="15"/>
    </row>
    <row r="325" spans="1:7" ht="20.100000000000001" customHeight="1" x14ac:dyDescent="0.2">
      <c r="A325" s="49"/>
      <c r="B325" s="14">
        <v>24</v>
      </c>
      <c r="C325" s="15" t="s">
        <v>1290</v>
      </c>
      <c r="D325" s="15"/>
      <c r="E325" s="16" t="s">
        <v>1246</v>
      </c>
      <c r="F325" s="14"/>
      <c r="G325" s="15"/>
    </row>
    <row r="326" spans="1:7" ht="20.100000000000001" customHeight="1" x14ac:dyDescent="0.2">
      <c r="A326" s="49"/>
      <c r="B326" s="14">
        <v>25</v>
      </c>
      <c r="C326" s="15" t="s">
        <v>1291</v>
      </c>
      <c r="D326" s="15"/>
      <c r="E326" s="16" t="s">
        <v>1247</v>
      </c>
      <c r="F326" s="14"/>
      <c r="G326" s="15"/>
    </row>
    <row r="327" spans="1:7" ht="20.100000000000001" customHeight="1" x14ac:dyDescent="0.2">
      <c r="A327" s="49"/>
      <c r="B327" s="14">
        <v>26</v>
      </c>
      <c r="C327" s="15" t="s">
        <v>1292</v>
      </c>
      <c r="D327" s="15"/>
      <c r="E327" s="16" t="s">
        <v>1248</v>
      </c>
      <c r="F327" s="14"/>
      <c r="G327" s="15"/>
    </row>
    <row r="328" spans="1:7" ht="20.100000000000001" customHeight="1" x14ac:dyDescent="0.2">
      <c r="A328" s="49"/>
      <c r="B328" s="14">
        <v>27</v>
      </c>
      <c r="C328" s="15" t="s">
        <v>1293</v>
      </c>
      <c r="D328" s="15"/>
      <c r="E328" s="16" t="s">
        <v>1249</v>
      </c>
      <c r="F328" s="14"/>
      <c r="G328" s="15"/>
    </row>
    <row r="329" spans="1:7" ht="20.100000000000001" customHeight="1" x14ac:dyDescent="0.2">
      <c r="A329" s="49"/>
      <c r="B329" s="14">
        <v>28</v>
      </c>
      <c r="C329" s="15" t="s">
        <v>1294</v>
      </c>
      <c r="D329" s="15"/>
      <c r="E329" s="16" t="s">
        <v>1250</v>
      </c>
      <c r="F329" s="14"/>
      <c r="G329" s="15"/>
    </row>
    <row r="330" spans="1:7" ht="20.100000000000001" customHeight="1" x14ac:dyDescent="0.2">
      <c r="A330" s="49"/>
      <c r="B330" s="14">
        <v>29</v>
      </c>
      <c r="C330" s="15" t="s">
        <v>1295</v>
      </c>
      <c r="D330" s="15"/>
      <c r="E330" s="16" t="s">
        <v>1251</v>
      </c>
      <c r="F330" s="14"/>
      <c r="G330" s="15"/>
    </row>
    <row r="331" spans="1:7" ht="20.100000000000001" customHeight="1" x14ac:dyDescent="0.2">
      <c r="A331" s="49"/>
      <c r="B331" s="14">
        <v>30</v>
      </c>
      <c r="C331" s="15" t="s">
        <v>1296</v>
      </c>
      <c r="D331" s="15"/>
      <c r="E331" s="16" t="s">
        <v>1252</v>
      </c>
      <c r="F331" s="14"/>
      <c r="G331" s="15"/>
    </row>
    <row r="332" spans="1:7" ht="20.100000000000001" customHeight="1" x14ac:dyDescent="0.2">
      <c r="A332" s="49"/>
      <c r="B332" s="14">
        <v>31</v>
      </c>
      <c r="C332" s="15" t="s">
        <v>1297</v>
      </c>
      <c r="D332" s="15"/>
      <c r="E332" s="16" t="s">
        <v>1253</v>
      </c>
      <c r="F332" s="14"/>
      <c r="G332" s="15"/>
    </row>
    <row r="333" spans="1:7" ht="20.100000000000001" customHeight="1" x14ac:dyDescent="0.2">
      <c r="A333" s="49"/>
      <c r="B333" s="14">
        <v>32</v>
      </c>
      <c r="C333" s="15" t="s">
        <v>1298</v>
      </c>
      <c r="D333" s="15"/>
      <c r="E333" s="16" t="s">
        <v>1254</v>
      </c>
      <c r="F333" s="14"/>
      <c r="G333" s="15"/>
    </row>
    <row r="334" spans="1:7" ht="20.100000000000001" customHeight="1" x14ac:dyDescent="0.2">
      <c r="A334" s="49"/>
      <c r="B334" s="14">
        <v>33</v>
      </c>
      <c r="C334" s="15" t="s">
        <v>1299</v>
      </c>
      <c r="D334" s="15"/>
      <c r="E334" s="16" t="s">
        <v>1255</v>
      </c>
      <c r="F334" s="14"/>
      <c r="G334" s="15"/>
    </row>
    <row r="335" spans="1:7" ht="20.100000000000001" customHeight="1" x14ac:dyDescent="0.2">
      <c r="A335" s="49"/>
      <c r="B335" s="14">
        <v>34</v>
      </c>
      <c r="C335" s="15" t="s">
        <v>1300</v>
      </c>
      <c r="D335" s="15"/>
      <c r="E335" s="16" t="s">
        <v>1256</v>
      </c>
      <c r="F335" s="14"/>
      <c r="G335" s="15"/>
    </row>
    <row r="336" spans="1:7" ht="20.100000000000001" customHeight="1" x14ac:dyDescent="0.2">
      <c r="A336" s="49"/>
      <c r="B336" s="14">
        <v>35</v>
      </c>
      <c r="C336" s="15" t="s">
        <v>1301</v>
      </c>
      <c r="D336" s="15"/>
      <c r="E336" s="16" t="s">
        <v>1257</v>
      </c>
      <c r="F336" s="14"/>
      <c r="G336" s="15"/>
    </row>
    <row r="337" spans="1:7" ht="20.100000000000001" customHeight="1" x14ac:dyDescent="0.2">
      <c r="A337" s="49"/>
      <c r="B337" s="14">
        <v>36</v>
      </c>
      <c r="C337" s="15" t="s">
        <v>1302</v>
      </c>
      <c r="D337" s="15"/>
      <c r="E337" s="16" t="s">
        <v>1258</v>
      </c>
      <c r="F337" s="14"/>
      <c r="G337" s="15"/>
    </row>
    <row r="338" spans="1:7" ht="20.100000000000001" customHeight="1" x14ac:dyDescent="0.2">
      <c r="A338" s="49"/>
      <c r="B338" s="14">
        <v>37</v>
      </c>
      <c r="C338" s="15" t="s">
        <v>1303</v>
      </c>
      <c r="D338" s="15"/>
      <c r="E338" s="16" t="s">
        <v>1259</v>
      </c>
      <c r="F338" s="14"/>
      <c r="G338" s="15"/>
    </row>
    <row r="339" spans="1:7" ht="20.100000000000001" customHeight="1" x14ac:dyDescent="0.2">
      <c r="A339" s="49"/>
      <c r="B339" s="14">
        <v>38</v>
      </c>
      <c r="C339" s="15" t="s">
        <v>1304</v>
      </c>
      <c r="D339" s="15"/>
      <c r="E339" s="16" t="s">
        <v>1260</v>
      </c>
      <c r="F339" s="14"/>
      <c r="G339" s="15"/>
    </row>
    <row r="340" spans="1:7" ht="20.100000000000001" customHeight="1" x14ac:dyDescent="0.2">
      <c r="A340" s="49"/>
      <c r="B340" s="14">
        <v>39</v>
      </c>
      <c r="C340" s="15" t="s">
        <v>1305</v>
      </c>
      <c r="D340" s="15"/>
      <c r="E340" s="16" t="s">
        <v>1261</v>
      </c>
      <c r="F340" s="14"/>
      <c r="G340" s="15"/>
    </row>
    <row r="341" spans="1:7" ht="20.100000000000001" customHeight="1" x14ac:dyDescent="0.2">
      <c r="A341" s="49"/>
      <c r="B341" s="14">
        <v>40</v>
      </c>
      <c r="C341" s="15" t="s">
        <v>1306</v>
      </c>
      <c r="D341" s="15"/>
      <c r="E341" s="16" t="s">
        <v>1262</v>
      </c>
      <c r="F341" s="14"/>
      <c r="G341" s="15"/>
    </row>
    <row r="342" spans="1:7" ht="20.100000000000001" customHeight="1" x14ac:dyDescent="0.2">
      <c r="A342" s="49"/>
      <c r="B342" s="14">
        <v>41</v>
      </c>
      <c r="C342" s="15" t="s">
        <v>1307</v>
      </c>
      <c r="D342" s="15"/>
      <c r="E342" s="16" t="s">
        <v>1263</v>
      </c>
      <c r="F342" s="14"/>
      <c r="G342" s="15"/>
    </row>
    <row r="343" spans="1:7" ht="20.100000000000001" customHeight="1" x14ac:dyDescent="0.2">
      <c r="A343" s="49"/>
      <c r="B343" s="14">
        <v>42</v>
      </c>
      <c r="C343" s="15" t="s">
        <v>1308</v>
      </c>
      <c r="D343" s="15"/>
      <c r="E343" s="16" t="s">
        <v>1264</v>
      </c>
      <c r="F343" s="14"/>
      <c r="G343" s="15"/>
    </row>
    <row r="344" spans="1:7" ht="20.100000000000001" customHeight="1" x14ac:dyDescent="0.2">
      <c r="A344" s="49"/>
      <c r="B344" s="14">
        <v>43</v>
      </c>
      <c r="C344" s="15" t="s">
        <v>1309</v>
      </c>
      <c r="D344" s="15"/>
      <c r="E344" s="16" t="s">
        <v>1265</v>
      </c>
      <c r="F344" s="14"/>
      <c r="G344" s="15"/>
    </row>
    <row r="345" spans="1:7" ht="20.100000000000001" customHeight="1" x14ac:dyDescent="0.2">
      <c r="A345" s="49"/>
      <c r="B345" s="14">
        <v>44</v>
      </c>
      <c r="C345" s="15" t="s">
        <v>1310</v>
      </c>
      <c r="D345" s="15"/>
      <c r="E345" s="16" t="s">
        <v>1266</v>
      </c>
      <c r="F345" s="14"/>
      <c r="G345" s="15"/>
    </row>
    <row r="346" spans="1:7" ht="20.100000000000001" customHeight="1" x14ac:dyDescent="0.2">
      <c r="A346" s="49"/>
      <c r="B346" s="14">
        <v>45</v>
      </c>
      <c r="C346" s="15" t="s">
        <v>1313</v>
      </c>
      <c r="D346" s="34"/>
      <c r="E346" s="35" t="s">
        <v>1355</v>
      </c>
      <c r="F346" s="27"/>
      <c r="G346" s="29"/>
    </row>
    <row r="347" spans="1:7" ht="20.100000000000001" customHeight="1" x14ac:dyDescent="0.2">
      <c r="A347" s="56"/>
      <c r="B347" s="14">
        <v>46</v>
      </c>
      <c r="C347" s="15" t="s">
        <v>1314</v>
      </c>
      <c r="D347" s="34"/>
      <c r="E347" s="35" t="s">
        <v>1356</v>
      </c>
      <c r="F347" s="27"/>
      <c r="G347" s="29"/>
    </row>
    <row r="348" spans="1:7" ht="28.5" customHeight="1" x14ac:dyDescent="0.2">
      <c r="A348" s="47" t="s">
        <v>993</v>
      </c>
      <c r="B348" s="26">
        <v>0</v>
      </c>
      <c r="C348" s="25" t="s">
        <v>996</v>
      </c>
      <c r="D348" s="25"/>
      <c r="E348" s="33" t="s">
        <v>995</v>
      </c>
      <c r="F348" s="26"/>
    </row>
    <row r="349" spans="1:7" ht="20.100000000000001" customHeight="1" x14ac:dyDescent="0.2">
      <c r="A349" s="44"/>
      <c r="B349" s="2">
        <v>1</v>
      </c>
      <c r="C349" s="1" t="s">
        <v>997</v>
      </c>
      <c r="D349" s="1"/>
      <c r="E349" s="3" t="s">
        <v>1062</v>
      </c>
      <c r="F349" s="1"/>
    </row>
    <row r="350" spans="1:7" ht="20.100000000000001" customHeight="1" x14ac:dyDescent="0.2">
      <c r="A350" s="44"/>
      <c r="B350" s="2">
        <v>2</v>
      </c>
      <c r="C350" s="1" t="s">
        <v>998</v>
      </c>
      <c r="D350" s="1"/>
      <c r="E350" s="12" t="s">
        <v>482</v>
      </c>
      <c r="F350" s="1"/>
    </row>
    <row r="351" spans="1:7" ht="20.100000000000001" customHeight="1" x14ac:dyDescent="0.2">
      <c r="A351" s="44"/>
      <c r="B351" s="2">
        <v>3</v>
      </c>
      <c r="C351" s="1" t="s">
        <v>999</v>
      </c>
      <c r="D351" s="1"/>
      <c r="E351" s="12" t="s">
        <v>429</v>
      </c>
      <c r="F351" s="1"/>
    </row>
    <row r="352" spans="1:7" ht="20.100000000000001" customHeight="1" x14ac:dyDescent="0.2">
      <c r="A352" s="44"/>
      <c r="B352" s="2">
        <v>4</v>
      </c>
      <c r="C352" s="1" t="s">
        <v>1000</v>
      </c>
      <c r="D352" s="1"/>
      <c r="E352" s="12" t="s">
        <v>422</v>
      </c>
      <c r="F352" s="1"/>
    </row>
    <row r="353" spans="1:6" ht="20.100000000000001" customHeight="1" x14ac:dyDescent="0.2">
      <c r="A353" s="44"/>
      <c r="B353" s="2">
        <v>5</v>
      </c>
      <c r="C353" s="1" t="s">
        <v>1001</v>
      </c>
      <c r="D353" s="1"/>
      <c r="E353" s="12" t="s">
        <v>421</v>
      </c>
      <c r="F353" s="1"/>
    </row>
    <row r="354" spans="1:6" ht="20.100000000000001" customHeight="1" x14ac:dyDescent="0.2">
      <c r="A354" s="44"/>
      <c r="B354" s="2">
        <v>6</v>
      </c>
      <c r="C354" s="1" t="s">
        <v>1002</v>
      </c>
      <c r="D354" s="1"/>
      <c r="E354" s="12" t="s">
        <v>423</v>
      </c>
      <c r="F354" s="1"/>
    </row>
    <row r="355" spans="1:6" ht="20.100000000000001" customHeight="1" x14ac:dyDescent="0.2">
      <c r="A355" s="44"/>
      <c r="B355" s="2">
        <v>7</v>
      </c>
      <c r="C355" s="1" t="s">
        <v>1003</v>
      </c>
      <c r="D355" s="1"/>
      <c r="E355" s="12" t="s">
        <v>424</v>
      </c>
      <c r="F355" s="1"/>
    </row>
    <row r="356" spans="1:6" ht="20.100000000000001" customHeight="1" x14ac:dyDescent="0.2">
      <c r="A356" s="44"/>
      <c r="B356" s="2">
        <v>8</v>
      </c>
      <c r="C356" s="1" t="s">
        <v>1004</v>
      </c>
      <c r="D356" s="1"/>
      <c r="E356" s="12" t="s">
        <v>425</v>
      </c>
      <c r="F356" s="1"/>
    </row>
    <row r="357" spans="1:6" ht="20.100000000000001" customHeight="1" x14ac:dyDescent="0.2">
      <c r="A357" s="44"/>
      <c r="B357" s="2">
        <v>9</v>
      </c>
      <c r="C357" s="1" t="s">
        <v>1005</v>
      </c>
      <c r="D357" s="1"/>
      <c r="E357" s="12" t="s">
        <v>426</v>
      </c>
      <c r="F357" s="1"/>
    </row>
    <row r="358" spans="1:6" ht="20.100000000000001" customHeight="1" x14ac:dyDescent="0.2">
      <c r="A358" s="44"/>
      <c r="B358" s="2">
        <v>10</v>
      </c>
      <c r="C358" s="1" t="s">
        <v>1006</v>
      </c>
      <c r="D358" s="1"/>
      <c r="E358" s="12" t="s">
        <v>1060</v>
      </c>
      <c r="F358" s="1"/>
    </row>
    <row r="359" spans="1:6" ht="20.100000000000001" customHeight="1" x14ac:dyDescent="0.2">
      <c r="A359" s="44"/>
      <c r="B359" s="2">
        <v>11</v>
      </c>
      <c r="C359" s="1" t="s">
        <v>1007</v>
      </c>
      <c r="D359" s="1"/>
      <c r="E359" s="12" t="s">
        <v>427</v>
      </c>
      <c r="F359" s="1"/>
    </row>
    <row r="360" spans="1:6" ht="20.100000000000001" customHeight="1" x14ac:dyDescent="0.2">
      <c r="A360" s="44"/>
      <c r="B360" s="2">
        <v>12</v>
      </c>
      <c r="C360" s="1" t="s">
        <v>1008</v>
      </c>
      <c r="D360" s="1"/>
      <c r="E360" s="12" t="s">
        <v>428</v>
      </c>
      <c r="F360" s="1"/>
    </row>
    <row r="361" spans="1:6" ht="20.100000000000001" customHeight="1" x14ac:dyDescent="0.2">
      <c r="A361" s="44"/>
      <c r="B361" s="2">
        <v>13</v>
      </c>
      <c r="C361" s="1" t="s">
        <v>1009</v>
      </c>
      <c r="D361" s="1"/>
      <c r="E361" s="3" t="s">
        <v>568</v>
      </c>
      <c r="F361" s="2"/>
    </row>
    <row r="362" spans="1:6" ht="20.100000000000001" customHeight="1" x14ac:dyDescent="0.2">
      <c r="A362" s="44"/>
      <c r="B362" s="2">
        <v>14</v>
      </c>
      <c r="C362" s="1" t="s">
        <v>1010</v>
      </c>
      <c r="D362" s="1"/>
      <c r="E362" s="12" t="s">
        <v>418</v>
      </c>
      <c r="F362" s="2"/>
    </row>
    <row r="363" spans="1:6" ht="20.100000000000001" customHeight="1" x14ac:dyDescent="0.2">
      <c r="A363" s="44"/>
      <c r="B363" s="2">
        <v>15</v>
      </c>
      <c r="C363" s="1" t="s">
        <v>1011</v>
      </c>
      <c r="D363" s="1"/>
      <c r="E363" s="12" t="s">
        <v>419</v>
      </c>
      <c r="F363" s="2"/>
    </row>
    <row r="364" spans="1:6" ht="20.100000000000001" customHeight="1" x14ac:dyDescent="0.2">
      <c r="A364" s="44"/>
      <c r="B364" s="2">
        <v>16</v>
      </c>
      <c r="C364" s="1" t="s">
        <v>1012</v>
      </c>
      <c r="D364" s="1"/>
      <c r="E364" s="12" t="s">
        <v>420</v>
      </c>
      <c r="F364" s="2"/>
    </row>
    <row r="365" spans="1:6" ht="20.100000000000001" customHeight="1" x14ac:dyDescent="0.2">
      <c r="A365" s="44"/>
      <c r="B365" s="2">
        <v>17</v>
      </c>
      <c r="C365" s="1" t="s">
        <v>1013</v>
      </c>
      <c r="D365" s="1"/>
      <c r="E365" s="12" t="s">
        <v>816</v>
      </c>
      <c r="F365" s="2"/>
    </row>
    <row r="366" spans="1:6" ht="20.100000000000001" customHeight="1" x14ac:dyDescent="0.2">
      <c r="A366" s="44"/>
      <c r="B366" s="2">
        <v>18</v>
      </c>
      <c r="C366" s="1" t="s">
        <v>1014</v>
      </c>
      <c r="D366" s="1"/>
      <c r="E366" s="12" t="s">
        <v>817</v>
      </c>
      <c r="F366" s="2"/>
    </row>
    <row r="367" spans="1:6" ht="20.100000000000001" customHeight="1" x14ac:dyDescent="0.2">
      <c r="A367" s="44"/>
      <c r="B367" s="2">
        <v>19</v>
      </c>
      <c r="C367" s="1" t="s">
        <v>1015</v>
      </c>
      <c r="D367" s="1"/>
      <c r="E367" s="12" t="s">
        <v>818</v>
      </c>
      <c r="F367" s="2"/>
    </row>
    <row r="368" spans="1:6" ht="20.100000000000001" customHeight="1" x14ac:dyDescent="0.2">
      <c r="A368" s="44"/>
      <c r="B368" s="2">
        <v>20</v>
      </c>
      <c r="C368" s="1" t="s">
        <v>1016</v>
      </c>
      <c r="D368" s="1"/>
      <c r="E368" s="12" t="s">
        <v>819</v>
      </c>
      <c r="F368" s="2"/>
    </row>
    <row r="369" spans="1:6" ht="20.100000000000001" customHeight="1" x14ac:dyDescent="0.2">
      <c r="A369" s="44"/>
      <c r="B369" s="2">
        <v>21</v>
      </c>
      <c r="C369" s="1" t="s">
        <v>1017</v>
      </c>
      <c r="D369" s="1"/>
      <c r="E369" s="12" t="s">
        <v>820</v>
      </c>
      <c r="F369" s="2"/>
    </row>
    <row r="370" spans="1:6" ht="20.100000000000001" customHeight="1" x14ac:dyDescent="0.2">
      <c r="A370" s="44"/>
      <c r="B370" s="2">
        <v>22</v>
      </c>
      <c r="C370" s="1" t="s">
        <v>1018</v>
      </c>
      <c r="D370" s="1"/>
      <c r="E370" s="12" t="s">
        <v>821</v>
      </c>
      <c r="F370" s="2"/>
    </row>
    <row r="371" spans="1:6" ht="20.100000000000001" customHeight="1" x14ac:dyDescent="0.2">
      <c r="A371" s="44"/>
      <c r="B371" s="2">
        <v>23</v>
      </c>
      <c r="C371" s="1" t="s">
        <v>1019</v>
      </c>
      <c r="D371" s="1"/>
      <c r="E371" s="12" t="s">
        <v>822</v>
      </c>
      <c r="F371" s="2"/>
    </row>
    <row r="372" spans="1:6" ht="20.100000000000001" customHeight="1" x14ac:dyDescent="0.2">
      <c r="A372" s="45" t="s">
        <v>918</v>
      </c>
      <c r="B372" s="2">
        <v>0</v>
      </c>
      <c r="C372" s="1" t="s">
        <v>572</v>
      </c>
      <c r="D372" s="1"/>
      <c r="E372" s="12" t="s">
        <v>1020</v>
      </c>
      <c r="F372" s="2"/>
    </row>
    <row r="373" spans="1:6" ht="20.100000000000001" customHeight="1" x14ac:dyDescent="0.2">
      <c r="A373" s="46"/>
      <c r="B373" s="2">
        <v>1</v>
      </c>
      <c r="C373" s="1" t="s">
        <v>573</v>
      </c>
      <c r="D373" s="1"/>
      <c r="E373" s="12" t="s">
        <v>909</v>
      </c>
      <c r="F373" s="2"/>
    </row>
    <row r="374" spans="1:6" ht="20.100000000000001" customHeight="1" x14ac:dyDescent="0.2">
      <c r="A374" s="46"/>
      <c r="B374" s="2">
        <v>2</v>
      </c>
      <c r="C374" s="1" t="s">
        <v>919</v>
      </c>
      <c r="D374" s="1"/>
      <c r="E374" s="12" t="s">
        <v>910</v>
      </c>
      <c r="F374" s="2"/>
    </row>
    <row r="375" spans="1:6" ht="20.100000000000001" customHeight="1" x14ac:dyDescent="0.2">
      <c r="A375" s="46"/>
      <c r="B375" s="2">
        <v>3</v>
      </c>
      <c r="C375" s="1" t="s">
        <v>920</v>
      </c>
      <c r="D375" s="1"/>
      <c r="E375" s="12" t="s">
        <v>911</v>
      </c>
      <c r="F375" s="2"/>
    </row>
    <row r="376" spans="1:6" ht="20.100000000000001" customHeight="1" x14ac:dyDescent="0.2">
      <c r="A376" s="46"/>
      <c r="B376" s="2">
        <v>4</v>
      </c>
      <c r="C376" s="1" t="s">
        <v>921</v>
      </c>
      <c r="D376" s="1"/>
      <c r="E376" s="12" t="s">
        <v>912</v>
      </c>
      <c r="F376" s="2"/>
    </row>
    <row r="377" spans="1:6" ht="20.100000000000001" customHeight="1" x14ac:dyDescent="0.2">
      <c r="A377" s="46"/>
      <c r="B377" s="2">
        <v>5</v>
      </c>
      <c r="C377" s="1" t="s">
        <v>922</v>
      </c>
      <c r="D377" s="1"/>
      <c r="E377" s="12" t="s">
        <v>871</v>
      </c>
      <c r="F377" s="2"/>
    </row>
    <row r="378" spans="1:6" ht="20.100000000000001" customHeight="1" x14ac:dyDescent="0.2">
      <c r="A378" s="46"/>
      <c r="B378" s="2">
        <v>6</v>
      </c>
      <c r="C378" s="1" t="s">
        <v>923</v>
      </c>
      <c r="D378" s="1"/>
      <c r="E378" s="52" t="s">
        <v>916</v>
      </c>
      <c r="F378" s="2"/>
    </row>
    <row r="379" spans="1:6" ht="20.100000000000001" customHeight="1" x14ac:dyDescent="0.2">
      <c r="A379" s="46"/>
      <c r="B379" s="2">
        <v>7</v>
      </c>
      <c r="C379" s="1" t="s">
        <v>924</v>
      </c>
      <c r="D379" s="1"/>
      <c r="E379" s="52"/>
      <c r="F379" s="2"/>
    </row>
    <row r="380" spans="1:6" ht="20.100000000000001" customHeight="1" x14ac:dyDescent="0.2">
      <c r="A380" s="46"/>
      <c r="B380" s="2">
        <v>8</v>
      </c>
      <c r="C380" s="1" t="s">
        <v>925</v>
      </c>
      <c r="D380" s="1"/>
      <c r="E380" s="52" t="s">
        <v>914</v>
      </c>
      <c r="F380" s="2"/>
    </row>
    <row r="381" spans="1:6" ht="20.100000000000001" customHeight="1" x14ac:dyDescent="0.2">
      <c r="A381" s="46"/>
      <c r="B381" s="2">
        <v>9</v>
      </c>
      <c r="C381" s="1" t="s">
        <v>574</v>
      </c>
      <c r="D381" s="1"/>
      <c r="E381" s="52"/>
      <c r="F381" s="2"/>
    </row>
    <row r="382" spans="1:6" ht="20.100000000000001" customHeight="1" x14ac:dyDescent="0.2">
      <c r="A382" s="46"/>
      <c r="B382" s="2">
        <v>10</v>
      </c>
      <c r="C382" s="1" t="s">
        <v>575</v>
      </c>
      <c r="D382" s="1"/>
      <c r="E382" s="12" t="s">
        <v>726</v>
      </c>
      <c r="F382" s="2"/>
    </row>
    <row r="383" spans="1:6" ht="20.100000000000001" customHeight="1" x14ac:dyDescent="0.2">
      <c r="A383" s="46"/>
      <c r="B383" s="2">
        <v>11</v>
      </c>
      <c r="C383" s="1" t="s">
        <v>576</v>
      </c>
      <c r="D383" s="1"/>
      <c r="E383" s="12" t="s">
        <v>985</v>
      </c>
      <c r="F383" s="2"/>
    </row>
    <row r="384" spans="1:6" ht="20.100000000000001" customHeight="1" x14ac:dyDescent="0.2">
      <c r="A384" s="46"/>
      <c r="B384" s="2">
        <v>12</v>
      </c>
      <c r="C384" s="1" t="s">
        <v>577</v>
      </c>
      <c r="D384" s="1"/>
      <c r="E384" s="52" t="s">
        <v>915</v>
      </c>
      <c r="F384" s="2"/>
    </row>
    <row r="385" spans="1:6" ht="20.100000000000001" customHeight="1" x14ac:dyDescent="0.2">
      <c r="A385" s="46"/>
      <c r="B385" s="2">
        <v>13</v>
      </c>
      <c r="C385" s="1" t="s">
        <v>578</v>
      </c>
      <c r="D385" s="1"/>
      <c r="E385" s="52"/>
      <c r="F385" s="2"/>
    </row>
    <row r="386" spans="1:6" ht="20.100000000000001" customHeight="1" x14ac:dyDescent="0.2">
      <c r="A386" s="46"/>
      <c r="B386" s="2">
        <v>14</v>
      </c>
      <c r="C386" s="1" t="s">
        <v>579</v>
      </c>
      <c r="D386" s="1"/>
      <c r="E386" s="52" t="s">
        <v>917</v>
      </c>
      <c r="F386" s="2"/>
    </row>
    <row r="387" spans="1:6" ht="20.100000000000001" customHeight="1" x14ac:dyDescent="0.2">
      <c r="A387" s="46"/>
      <c r="B387" s="2">
        <v>15</v>
      </c>
      <c r="C387" s="1" t="s">
        <v>580</v>
      </c>
      <c r="D387" s="1"/>
      <c r="E387" s="52"/>
      <c r="F387" s="2"/>
    </row>
    <row r="388" spans="1:6" ht="20.100000000000001" customHeight="1" x14ac:dyDescent="0.2">
      <c r="A388" s="46"/>
      <c r="B388" s="2">
        <v>16</v>
      </c>
      <c r="C388" s="1" t="s">
        <v>581</v>
      </c>
      <c r="D388" s="1"/>
      <c r="E388" s="12" t="s">
        <v>721</v>
      </c>
      <c r="F388" s="2"/>
    </row>
    <row r="389" spans="1:6" ht="20.100000000000001" customHeight="1" x14ac:dyDescent="0.2">
      <c r="A389" s="44" t="s">
        <v>1021</v>
      </c>
      <c r="B389" s="2">
        <v>0</v>
      </c>
      <c r="C389" s="1" t="s">
        <v>378</v>
      </c>
      <c r="D389" s="1">
        <f>36865+8000-4096+B389-1</f>
        <v>40768</v>
      </c>
      <c r="E389" s="3" t="s">
        <v>1022</v>
      </c>
      <c r="F389" s="1"/>
    </row>
    <row r="390" spans="1:6" ht="20.100000000000001" customHeight="1" x14ac:dyDescent="0.2">
      <c r="A390" s="44"/>
      <c r="B390" s="2">
        <v>1</v>
      </c>
      <c r="C390" s="1" t="s">
        <v>379</v>
      </c>
      <c r="D390" s="1">
        <f t="shared" ref="D390:D408" si="3">36865+8000-4096+B390-1</f>
        <v>40769</v>
      </c>
      <c r="E390" s="12" t="s">
        <v>398</v>
      </c>
      <c r="F390" s="1"/>
    </row>
    <row r="391" spans="1:6" ht="20.100000000000001" customHeight="1" x14ac:dyDescent="0.2">
      <c r="A391" s="44"/>
      <c r="B391" s="2">
        <v>2</v>
      </c>
      <c r="C391" s="1" t="s">
        <v>380</v>
      </c>
      <c r="D391" s="1">
        <f t="shared" si="3"/>
        <v>40770</v>
      </c>
      <c r="E391" s="12" t="s">
        <v>399</v>
      </c>
      <c r="F391" s="1"/>
    </row>
    <row r="392" spans="1:6" ht="20.100000000000001" customHeight="1" x14ac:dyDescent="0.2">
      <c r="A392" s="44"/>
      <c r="B392" s="2">
        <v>3</v>
      </c>
      <c r="C392" s="1" t="s">
        <v>381</v>
      </c>
      <c r="D392" s="1">
        <f t="shared" si="3"/>
        <v>40771</v>
      </c>
      <c r="E392" s="12" t="s">
        <v>400</v>
      </c>
      <c r="F392" s="1"/>
    </row>
    <row r="393" spans="1:6" ht="20.100000000000001" customHeight="1" x14ac:dyDescent="0.2">
      <c r="A393" s="44"/>
      <c r="B393" s="2">
        <v>4</v>
      </c>
      <c r="C393" s="1" t="s">
        <v>382</v>
      </c>
      <c r="D393" s="1">
        <f t="shared" si="3"/>
        <v>40772</v>
      </c>
      <c r="E393" s="12" t="s">
        <v>401</v>
      </c>
      <c r="F393" s="1"/>
    </row>
    <row r="394" spans="1:6" ht="20.100000000000001" customHeight="1" x14ac:dyDescent="0.2">
      <c r="A394" s="44"/>
      <c r="B394" s="2">
        <v>5</v>
      </c>
      <c r="C394" s="1" t="s">
        <v>383</v>
      </c>
      <c r="D394" s="1">
        <f t="shared" si="3"/>
        <v>40773</v>
      </c>
      <c r="E394" s="12" t="s">
        <v>402</v>
      </c>
      <c r="F394" s="1"/>
    </row>
    <row r="395" spans="1:6" ht="20.100000000000001" customHeight="1" x14ac:dyDescent="0.2">
      <c r="A395" s="44"/>
      <c r="B395" s="2">
        <v>6</v>
      </c>
      <c r="C395" s="1" t="s">
        <v>384</v>
      </c>
      <c r="D395" s="1">
        <f t="shared" si="3"/>
        <v>40774</v>
      </c>
      <c r="E395" s="12" t="s">
        <v>403</v>
      </c>
      <c r="F395" s="1"/>
    </row>
    <row r="396" spans="1:6" ht="20.100000000000001" customHeight="1" x14ac:dyDescent="0.2">
      <c r="A396" s="44"/>
      <c r="B396" s="2">
        <v>7</v>
      </c>
      <c r="C396" s="1" t="s">
        <v>385</v>
      </c>
      <c r="D396" s="1">
        <f t="shared" si="3"/>
        <v>40775</v>
      </c>
      <c r="E396" s="12" t="s">
        <v>404</v>
      </c>
      <c r="F396" s="1"/>
    </row>
    <row r="397" spans="1:6" ht="20.100000000000001" customHeight="1" x14ac:dyDescent="0.2">
      <c r="A397" s="44"/>
      <c r="B397" s="2">
        <v>8</v>
      </c>
      <c r="C397" s="1" t="s">
        <v>386</v>
      </c>
      <c r="D397" s="1">
        <f t="shared" si="3"/>
        <v>40776</v>
      </c>
      <c r="E397" s="12" t="s">
        <v>405</v>
      </c>
      <c r="F397" s="1"/>
    </row>
    <row r="398" spans="1:6" ht="20.100000000000001" customHeight="1" x14ac:dyDescent="0.2">
      <c r="A398" s="44"/>
      <c r="B398" s="2">
        <v>9</v>
      </c>
      <c r="C398" s="1" t="s">
        <v>387</v>
      </c>
      <c r="D398" s="1">
        <f t="shared" si="3"/>
        <v>40777</v>
      </c>
      <c r="E398" s="12" t="s">
        <v>406</v>
      </c>
      <c r="F398" s="1"/>
    </row>
    <row r="399" spans="1:6" ht="20.100000000000001" customHeight="1" x14ac:dyDescent="0.2">
      <c r="A399" s="44"/>
      <c r="B399" s="2">
        <v>10</v>
      </c>
      <c r="C399" s="1" t="s">
        <v>388</v>
      </c>
      <c r="D399" s="1">
        <f t="shared" si="3"/>
        <v>40778</v>
      </c>
      <c r="E399" s="12" t="s">
        <v>407</v>
      </c>
      <c r="F399" s="1"/>
    </row>
    <row r="400" spans="1:6" ht="20.100000000000001" customHeight="1" x14ac:dyDescent="0.2">
      <c r="A400" s="44"/>
      <c r="B400" s="2">
        <v>11</v>
      </c>
      <c r="C400" s="1" t="s">
        <v>389</v>
      </c>
      <c r="D400" s="1">
        <f t="shared" si="3"/>
        <v>40779</v>
      </c>
      <c r="E400" s="12" t="s">
        <v>408</v>
      </c>
      <c r="F400" s="1"/>
    </row>
    <row r="401" spans="1:6" ht="20.100000000000001" customHeight="1" x14ac:dyDescent="0.2">
      <c r="A401" s="44"/>
      <c r="B401" s="2">
        <v>12</v>
      </c>
      <c r="C401" s="1" t="s">
        <v>390</v>
      </c>
      <c r="D401" s="1">
        <f t="shared" si="3"/>
        <v>40780</v>
      </c>
      <c r="E401" s="12" t="s">
        <v>409</v>
      </c>
      <c r="F401" s="2"/>
    </row>
    <row r="402" spans="1:6" ht="20.100000000000001" customHeight="1" x14ac:dyDescent="0.2">
      <c r="A402" s="44"/>
      <c r="B402" s="2">
        <v>13</v>
      </c>
      <c r="C402" s="1" t="s">
        <v>391</v>
      </c>
      <c r="D402" s="1">
        <f t="shared" si="3"/>
        <v>40781</v>
      </c>
      <c r="E402" s="12" t="s">
        <v>410</v>
      </c>
      <c r="F402" s="2"/>
    </row>
    <row r="403" spans="1:6" ht="20.100000000000001" customHeight="1" x14ac:dyDescent="0.2">
      <c r="A403" s="44"/>
      <c r="B403" s="2">
        <v>14</v>
      </c>
      <c r="C403" s="1" t="s">
        <v>392</v>
      </c>
      <c r="D403" s="1">
        <f t="shared" si="3"/>
        <v>40782</v>
      </c>
      <c r="E403" s="12" t="s">
        <v>411</v>
      </c>
      <c r="F403" s="2"/>
    </row>
    <row r="404" spans="1:6" ht="20.100000000000001" customHeight="1" x14ac:dyDescent="0.2">
      <c r="A404" s="44"/>
      <c r="B404" s="2">
        <v>15</v>
      </c>
      <c r="C404" s="1" t="s">
        <v>393</v>
      </c>
      <c r="D404" s="1">
        <f t="shared" si="3"/>
        <v>40783</v>
      </c>
      <c r="E404" s="12" t="s">
        <v>412</v>
      </c>
      <c r="F404" s="2"/>
    </row>
    <row r="405" spans="1:6" ht="20.100000000000001" customHeight="1" x14ac:dyDescent="0.2">
      <c r="A405" s="44"/>
      <c r="B405" s="2">
        <v>16</v>
      </c>
      <c r="C405" s="1" t="s">
        <v>394</v>
      </c>
      <c r="D405" s="1">
        <f t="shared" si="3"/>
        <v>40784</v>
      </c>
      <c r="E405" s="12" t="s">
        <v>413</v>
      </c>
      <c r="F405" s="2"/>
    </row>
    <row r="406" spans="1:6" ht="20.100000000000001" customHeight="1" x14ac:dyDescent="0.2">
      <c r="A406" s="44"/>
      <c r="B406" s="2">
        <v>17</v>
      </c>
      <c r="C406" s="1" t="s">
        <v>395</v>
      </c>
      <c r="D406" s="1">
        <f t="shared" si="3"/>
        <v>40785</v>
      </c>
      <c r="E406" s="12" t="s">
        <v>414</v>
      </c>
      <c r="F406" s="2"/>
    </row>
    <row r="407" spans="1:6" ht="20.100000000000001" customHeight="1" x14ac:dyDescent="0.2">
      <c r="A407" s="44"/>
      <c r="B407" s="2">
        <v>18</v>
      </c>
      <c r="C407" s="1" t="s">
        <v>396</v>
      </c>
      <c r="D407" s="1">
        <f t="shared" si="3"/>
        <v>40786</v>
      </c>
      <c r="E407" s="12" t="s">
        <v>415</v>
      </c>
      <c r="F407" s="2"/>
    </row>
    <row r="408" spans="1:6" ht="20.100000000000001" customHeight="1" x14ac:dyDescent="0.2">
      <c r="A408" s="44"/>
      <c r="B408" s="2">
        <v>19</v>
      </c>
      <c r="C408" s="1" t="s">
        <v>397</v>
      </c>
      <c r="D408" s="1">
        <f t="shared" si="3"/>
        <v>40787</v>
      </c>
      <c r="E408" s="12" t="s">
        <v>416</v>
      </c>
      <c r="F408" s="2"/>
    </row>
    <row r="409" spans="1:6" ht="20.100000000000001" customHeight="1" x14ac:dyDescent="0.2">
      <c r="A409" s="57" t="s">
        <v>1049</v>
      </c>
      <c r="B409" s="2">
        <v>0</v>
      </c>
      <c r="C409" s="1" t="s">
        <v>481</v>
      </c>
      <c r="D409" s="1">
        <f>36865+8100-4096+B409-1</f>
        <v>40868</v>
      </c>
      <c r="E409" s="12" t="s">
        <v>995</v>
      </c>
      <c r="F409" s="2"/>
    </row>
    <row r="410" spans="1:6" ht="20.100000000000001" customHeight="1" x14ac:dyDescent="0.2">
      <c r="A410" s="43"/>
      <c r="B410" s="2">
        <v>1</v>
      </c>
      <c r="C410" s="1" t="s">
        <v>483</v>
      </c>
      <c r="D410" s="1">
        <f t="shared" ref="D410:D429" si="4">36865+8100-4096+B410-1</f>
        <v>40869</v>
      </c>
      <c r="E410" s="3" t="s">
        <v>1024</v>
      </c>
      <c r="F410" s="2" t="s">
        <v>1025</v>
      </c>
    </row>
    <row r="411" spans="1:6" ht="20.100000000000001" customHeight="1" x14ac:dyDescent="0.2">
      <c r="A411" s="43"/>
      <c r="B411" s="2">
        <v>2</v>
      </c>
      <c r="C411" s="1" t="s">
        <v>484</v>
      </c>
      <c r="D411" s="1">
        <f t="shared" si="4"/>
        <v>40870</v>
      </c>
      <c r="E411" s="12" t="s">
        <v>482</v>
      </c>
      <c r="F411" s="1" t="s">
        <v>544</v>
      </c>
    </row>
    <row r="412" spans="1:6" ht="20.100000000000001" customHeight="1" x14ac:dyDescent="0.2">
      <c r="A412" s="43"/>
      <c r="B412" s="2">
        <v>3</v>
      </c>
      <c r="C412" s="1" t="s">
        <v>485</v>
      </c>
      <c r="D412" s="1">
        <f t="shared" si="4"/>
        <v>40871</v>
      </c>
      <c r="E412" s="12" t="s">
        <v>429</v>
      </c>
      <c r="F412" s="1" t="s">
        <v>545</v>
      </c>
    </row>
    <row r="413" spans="1:6" ht="20.100000000000001" customHeight="1" x14ac:dyDescent="0.2">
      <c r="A413" s="43"/>
      <c r="B413" s="2">
        <v>4</v>
      </c>
      <c r="C413" s="1" t="s">
        <v>486</v>
      </c>
      <c r="D413" s="1">
        <f t="shared" si="4"/>
        <v>40872</v>
      </c>
      <c r="E413" s="12" t="s">
        <v>422</v>
      </c>
      <c r="F413" s="1" t="s">
        <v>546</v>
      </c>
    </row>
    <row r="414" spans="1:6" ht="20.100000000000001" customHeight="1" x14ac:dyDescent="0.2">
      <c r="A414" s="43"/>
      <c r="B414" s="2">
        <v>5</v>
      </c>
      <c r="C414" s="1" t="s">
        <v>487</v>
      </c>
      <c r="D414" s="1">
        <f t="shared" si="4"/>
        <v>40873</v>
      </c>
      <c r="E414" s="12" t="s">
        <v>421</v>
      </c>
      <c r="F414" s="1" t="s">
        <v>547</v>
      </c>
    </row>
    <row r="415" spans="1:6" ht="20.100000000000001" customHeight="1" x14ac:dyDescent="0.2">
      <c r="A415" s="43"/>
      <c r="B415" s="2">
        <v>6</v>
      </c>
      <c r="C415" s="1" t="s">
        <v>488</v>
      </c>
      <c r="D415" s="1">
        <f t="shared" si="4"/>
        <v>40874</v>
      </c>
      <c r="E415" s="12" t="s">
        <v>423</v>
      </c>
      <c r="F415" s="1" t="s">
        <v>548</v>
      </c>
    </row>
    <row r="416" spans="1:6" ht="20.100000000000001" customHeight="1" x14ac:dyDescent="0.2">
      <c r="A416" s="43"/>
      <c r="B416" s="2">
        <v>7</v>
      </c>
      <c r="C416" s="1" t="s">
        <v>489</v>
      </c>
      <c r="D416" s="1">
        <f t="shared" si="4"/>
        <v>40875</v>
      </c>
      <c r="E416" s="12" t="s">
        <v>424</v>
      </c>
      <c r="F416" s="1" t="s">
        <v>549</v>
      </c>
    </row>
    <row r="417" spans="1:6" ht="20.100000000000001" customHeight="1" x14ac:dyDescent="0.2">
      <c r="A417" s="43"/>
      <c r="B417" s="2">
        <v>8</v>
      </c>
      <c r="C417" s="1" t="s">
        <v>490</v>
      </c>
      <c r="D417" s="1">
        <f t="shared" si="4"/>
        <v>40876</v>
      </c>
      <c r="E417" s="12" t="s">
        <v>425</v>
      </c>
      <c r="F417" s="1" t="s">
        <v>448</v>
      </c>
    </row>
    <row r="418" spans="1:6" ht="20.100000000000001" customHeight="1" x14ac:dyDescent="0.2">
      <c r="A418" s="43"/>
      <c r="B418" s="2">
        <v>9</v>
      </c>
      <c r="C418" s="1" t="s">
        <v>491</v>
      </c>
      <c r="D418" s="1">
        <f t="shared" si="4"/>
        <v>40877</v>
      </c>
      <c r="E418" s="12" t="s">
        <v>426</v>
      </c>
      <c r="F418" s="1" t="s">
        <v>449</v>
      </c>
    </row>
    <row r="419" spans="1:6" ht="20.100000000000001" customHeight="1" x14ac:dyDescent="0.2">
      <c r="A419" s="43"/>
      <c r="B419" s="2">
        <v>10</v>
      </c>
      <c r="C419" s="1" t="s">
        <v>492</v>
      </c>
      <c r="D419" s="1">
        <f t="shared" si="4"/>
        <v>40878</v>
      </c>
      <c r="E419" s="12" t="s">
        <v>1060</v>
      </c>
      <c r="F419" s="1" t="s">
        <v>450</v>
      </c>
    </row>
    <row r="420" spans="1:6" ht="20.100000000000001" customHeight="1" x14ac:dyDescent="0.2">
      <c r="A420" s="43"/>
      <c r="B420" s="2">
        <v>11</v>
      </c>
      <c r="C420" s="1" t="s">
        <v>493</v>
      </c>
      <c r="D420" s="1">
        <f t="shared" si="4"/>
        <v>40879</v>
      </c>
      <c r="E420" s="12" t="s">
        <v>427</v>
      </c>
      <c r="F420" s="1" t="s">
        <v>451</v>
      </c>
    </row>
    <row r="421" spans="1:6" ht="20.100000000000001" customHeight="1" x14ac:dyDescent="0.2">
      <c r="A421" s="43"/>
      <c r="B421" s="2">
        <v>12</v>
      </c>
      <c r="C421" s="1" t="s">
        <v>494</v>
      </c>
      <c r="D421" s="1">
        <f t="shared" si="4"/>
        <v>40880</v>
      </c>
      <c r="E421" s="12" t="s">
        <v>428</v>
      </c>
      <c r="F421" s="1" t="s">
        <v>452</v>
      </c>
    </row>
    <row r="422" spans="1:6" ht="20.100000000000001" customHeight="1" x14ac:dyDescent="0.2">
      <c r="A422" s="43"/>
      <c r="B422" s="2">
        <v>13</v>
      </c>
      <c r="C422" s="1" t="s">
        <v>495</v>
      </c>
      <c r="D422" s="1">
        <f t="shared" si="4"/>
        <v>40881</v>
      </c>
      <c r="E422" s="3" t="s">
        <v>568</v>
      </c>
      <c r="F422" s="1" t="s">
        <v>453</v>
      </c>
    </row>
    <row r="423" spans="1:6" ht="20.100000000000001" customHeight="1" x14ac:dyDescent="0.2">
      <c r="A423" s="43"/>
      <c r="B423" s="2">
        <v>14</v>
      </c>
      <c r="C423" s="1" t="s">
        <v>496</v>
      </c>
      <c r="D423" s="1">
        <f t="shared" si="4"/>
        <v>40882</v>
      </c>
      <c r="E423" s="12" t="s">
        <v>418</v>
      </c>
      <c r="F423" s="2"/>
    </row>
    <row r="424" spans="1:6" ht="20.100000000000001" customHeight="1" x14ac:dyDescent="0.2">
      <c r="A424" s="43"/>
      <c r="B424" s="2">
        <v>15</v>
      </c>
      <c r="C424" s="1" t="s">
        <v>497</v>
      </c>
      <c r="D424" s="1">
        <f t="shared" si="4"/>
        <v>40883</v>
      </c>
      <c r="E424" s="12" t="s">
        <v>419</v>
      </c>
      <c r="F424" s="2"/>
    </row>
    <row r="425" spans="1:6" ht="20.100000000000001" customHeight="1" x14ac:dyDescent="0.2">
      <c r="A425" s="43"/>
      <c r="B425" s="2">
        <v>16</v>
      </c>
      <c r="C425" s="1" t="s">
        <v>498</v>
      </c>
      <c r="D425" s="1">
        <f t="shared" si="4"/>
        <v>40884</v>
      </c>
      <c r="E425" s="12" t="s">
        <v>420</v>
      </c>
      <c r="F425" s="2"/>
    </row>
    <row r="426" spans="1:6" ht="20.100000000000001" customHeight="1" x14ac:dyDescent="0.2">
      <c r="A426" s="43"/>
      <c r="B426" s="2">
        <v>17</v>
      </c>
      <c r="C426" s="1" t="s">
        <v>499</v>
      </c>
      <c r="D426" s="1">
        <f t="shared" si="4"/>
        <v>40885</v>
      </c>
      <c r="E426" s="12" t="s">
        <v>816</v>
      </c>
      <c r="F426" s="2"/>
    </row>
    <row r="427" spans="1:6" ht="20.100000000000001" customHeight="1" x14ac:dyDescent="0.2">
      <c r="A427" s="43"/>
      <c r="B427" s="2">
        <v>18</v>
      </c>
      <c r="C427" s="1" t="s">
        <v>500</v>
      </c>
      <c r="D427" s="1">
        <f t="shared" si="4"/>
        <v>40886</v>
      </c>
      <c r="E427" s="12" t="s">
        <v>817</v>
      </c>
      <c r="F427" s="2"/>
    </row>
    <row r="428" spans="1:6" ht="20.100000000000001" customHeight="1" x14ac:dyDescent="0.2">
      <c r="A428" s="43"/>
      <c r="B428" s="2">
        <v>19</v>
      </c>
      <c r="C428" s="1" t="s">
        <v>501</v>
      </c>
      <c r="D428" s="1">
        <f t="shared" si="4"/>
        <v>40887</v>
      </c>
      <c r="E428" s="12" t="s">
        <v>818</v>
      </c>
      <c r="F428" s="2"/>
    </row>
    <row r="429" spans="1:6" ht="20.100000000000001" customHeight="1" x14ac:dyDescent="0.2">
      <c r="A429" s="43"/>
      <c r="B429" s="2">
        <v>20</v>
      </c>
      <c r="C429" s="1" t="s">
        <v>529</v>
      </c>
      <c r="D429" s="1">
        <f t="shared" si="4"/>
        <v>40888</v>
      </c>
      <c r="E429" s="12" t="s">
        <v>819</v>
      </c>
      <c r="F429" s="2"/>
    </row>
    <row r="430" spans="1:6" ht="20.100000000000001" customHeight="1" x14ac:dyDescent="0.2">
      <c r="A430" s="43"/>
      <c r="B430" s="2">
        <v>21</v>
      </c>
      <c r="C430" s="1" t="s">
        <v>986</v>
      </c>
      <c r="D430" s="1">
        <f t="shared" ref="D430:D431" si="5">36865+8100-4096+B430-1</f>
        <v>40889</v>
      </c>
      <c r="E430" s="12" t="s">
        <v>820</v>
      </c>
      <c r="F430" s="2"/>
    </row>
    <row r="431" spans="1:6" ht="20.100000000000001" customHeight="1" x14ac:dyDescent="0.2">
      <c r="A431" s="43"/>
      <c r="B431" s="2">
        <v>22</v>
      </c>
      <c r="C431" s="1" t="s">
        <v>987</v>
      </c>
      <c r="D431" s="1">
        <f t="shared" si="5"/>
        <v>40890</v>
      </c>
      <c r="E431" s="12" t="s">
        <v>821</v>
      </c>
      <c r="F431" s="2"/>
    </row>
    <row r="432" spans="1:6" ht="20.100000000000001" customHeight="1" x14ac:dyDescent="0.2">
      <c r="A432" s="43"/>
      <c r="B432" s="2">
        <v>23</v>
      </c>
      <c r="C432" s="1" t="s">
        <v>988</v>
      </c>
      <c r="D432" s="1">
        <f t="shared" ref="D432" si="6">36865+8100-4096+B432-1</f>
        <v>40891</v>
      </c>
      <c r="E432" s="12" t="s">
        <v>822</v>
      </c>
      <c r="F432" s="2"/>
    </row>
  </sheetData>
  <mergeCells count="38">
    <mergeCell ref="G169:G170"/>
    <mergeCell ref="G171:G172"/>
    <mergeCell ref="G175:G176"/>
    <mergeCell ref="G177:G178"/>
    <mergeCell ref="E378:E379"/>
    <mergeCell ref="F181:F186"/>
    <mergeCell ref="F187:F192"/>
    <mergeCell ref="F193:F198"/>
    <mergeCell ref="F199:F202"/>
    <mergeCell ref="F203:F206"/>
    <mergeCell ref="E380:E381"/>
    <mergeCell ref="E384:E385"/>
    <mergeCell ref="E386:E387"/>
    <mergeCell ref="A409:A432"/>
    <mergeCell ref="A389:A408"/>
    <mergeCell ref="A372:A388"/>
    <mergeCell ref="A301:A347"/>
    <mergeCell ref="A254:A300"/>
    <mergeCell ref="A122:A134"/>
    <mergeCell ref="A348:A371"/>
    <mergeCell ref="A168:A180"/>
    <mergeCell ref="A181:A206"/>
    <mergeCell ref="A207:A253"/>
    <mergeCell ref="A43:A106"/>
    <mergeCell ref="A1:F1"/>
    <mergeCell ref="A135:A154"/>
    <mergeCell ref="A155:A167"/>
    <mergeCell ref="A3:A42"/>
    <mergeCell ref="E123:E124"/>
    <mergeCell ref="E125:E126"/>
    <mergeCell ref="E129:E130"/>
    <mergeCell ref="E131:E132"/>
    <mergeCell ref="A107:A118"/>
    <mergeCell ref="F135:F138"/>
    <mergeCell ref="F139:F142"/>
    <mergeCell ref="F143:F146"/>
    <mergeCell ref="F147:F150"/>
    <mergeCell ref="F151:F15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8C1C-BC2B-4C7E-BF68-DE6A1B492A7C}">
  <dimension ref="A1:F18"/>
  <sheetViews>
    <sheetView zoomScale="115" zoomScaleNormal="115" workbookViewId="0">
      <selection activeCell="F14" sqref="C14:F15"/>
    </sheetView>
  </sheetViews>
  <sheetFormatPr defaultRowHeight="20.100000000000001" customHeight="1" x14ac:dyDescent="0.2"/>
  <cols>
    <col min="1" max="1" width="6.125" style="8" customWidth="1"/>
    <col min="2" max="2" width="4.5" style="8" bestFit="1" customWidth="1"/>
    <col min="3" max="3" width="4.5" style="7" bestFit="1" customWidth="1"/>
    <col min="4" max="5" width="8.375" style="7" customWidth="1"/>
    <col min="6" max="6" width="13.875" style="7" bestFit="1" customWidth="1"/>
    <col min="7" max="16384" width="9" style="7"/>
  </cols>
  <sheetData>
    <row r="1" spans="1:6" s="6" customFormat="1" ht="20.100000000000001" customHeight="1" x14ac:dyDescent="0.2">
      <c r="A1" s="5" t="s">
        <v>0</v>
      </c>
      <c r="B1" s="5" t="s">
        <v>1</v>
      </c>
      <c r="C1" s="5" t="s">
        <v>8</v>
      </c>
      <c r="D1" s="5" t="s">
        <v>417</v>
      </c>
      <c r="E1" s="59" t="s">
        <v>907</v>
      </c>
      <c r="F1" s="59"/>
    </row>
    <row r="2" spans="1:6" ht="20.100000000000001" customHeight="1" x14ac:dyDescent="0.2">
      <c r="A2" s="44" t="s">
        <v>377</v>
      </c>
      <c r="B2" s="2">
        <v>0</v>
      </c>
      <c r="C2" s="1" t="s">
        <v>378</v>
      </c>
      <c r="D2" s="1">
        <f>36865+8000-4096+B2-1</f>
        <v>40768</v>
      </c>
      <c r="E2" s="1" t="s">
        <v>572</v>
      </c>
      <c r="F2" s="1" t="s">
        <v>908</v>
      </c>
    </row>
    <row r="3" spans="1:6" ht="20.100000000000001" customHeight="1" x14ac:dyDescent="0.2">
      <c r="A3" s="44"/>
      <c r="B3" s="2">
        <v>1</v>
      </c>
      <c r="C3" s="1" t="s">
        <v>379</v>
      </c>
      <c r="D3" s="1">
        <f t="shared" ref="D3:D18" si="0">36865+8000-4096+B3-1</f>
        <v>40769</v>
      </c>
      <c r="E3" s="1" t="s">
        <v>573</v>
      </c>
      <c r="F3" s="1" t="s">
        <v>909</v>
      </c>
    </row>
    <row r="4" spans="1:6" ht="20.100000000000001" customHeight="1" x14ac:dyDescent="0.2">
      <c r="A4" s="44"/>
      <c r="B4" s="2">
        <v>2</v>
      </c>
      <c r="C4" s="1" t="s">
        <v>380</v>
      </c>
      <c r="D4" s="1">
        <f t="shared" si="0"/>
        <v>40770</v>
      </c>
      <c r="E4" s="1" t="s">
        <v>919</v>
      </c>
      <c r="F4" s="1" t="s">
        <v>910</v>
      </c>
    </row>
    <row r="5" spans="1:6" ht="20.100000000000001" customHeight="1" x14ac:dyDescent="0.2">
      <c r="A5" s="44"/>
      <c r="B5" s="2">
        <v>3</v>
      </c>
      <c r="C5" s="1" t="s">
        <v>381</v>
      </c>
      <c r="D5" s="1">
        <f t="shared" si="0"/>
        <v>40771</v>
      </c>
      <c r="E5" s="1" t="s">
        <v>920</v>
      </c>
      <c r="F5" s="1" t="s">
        <v>911</v>
      </c>
    </row>
    <row r="6" spans="1:6" ht="20.100000000000001" customHeight="1" x14ac:dyDescent="0.2">
      <c r="A6" s="44"/>
      <c r="B6" s="2">
        <v>4</v>
      </c>
      <c r="C6" s="1" t="s">
        <v>382</v>
      </c>
      <c r="D6" s="1">
        <f t="shared" si="0"/>
        <v>40772</v>
      </c>
      <c r="E6" s="1" t="s">
        <v>921</v>
      </c>
      <c r="F6" s="1" t="s">
        <v>912</v>
      </c>
    </row>
    <row r="7" spans="1:6" ht="20.100000000000001" customHeight="1" x14ac:dyDescent="0.2">
      <c r="A7" s="44"/>
      <c r="B7" s="2">
        <v>5</v>
      </c>
      <c r="C7" s="1" t="s">
        <v>383</v>
      </c>
      <c r="D7" s="1">
        <f t="shared" si="0"/>
        <v>40773</v>
      </c>
      <c r="E7" s="1" t="s">
        <v>922</v>
      </c>
      <c r="F7" s="1" t="s">
        <v>871</v>
      </c>
    </row>
    <row r="8" spans="1:6" ht="20.100000000000001" customHeight="1" x14ac:dyDescent="0.2">
      <c r="A8" s="44"/>
      <c r="B8" s="2">
        <v>6</v>
      </c>
      <c r="C8" s="1" t="s">
        <v>384</v>
      </c>
      <c r="D8" s="1">
        <f t="shared" si="0"/>
        <v>40774</v>
      </c>
      <c r="E8" s="1" t="s">
        <v>923</v>
      </c>
      <c r="F8" s="38" t="s">
        <v>916</v>
      </c>
    </row>
    <row r="9" spans="1:6" ht="20.100000000000001" customHeight="1" x14ac:dyDescent="0.2">
      <c r="A9" s="44"/>
      <c r="B9" s="2">
        <v>7</v>
      </c>
      <c r="C9" s="1" t="s">
        <v>385</v>
      </c>
      <c r="D9" s="1">
        <f t="shared" si="0"/>
        <v>40775</v>
      </c>
      <c r="E9" s="1" t="s">
        <v>924</v>
      </c>
      <c r="F9" s="38"/>
    </row>
    <row r="10" spans="1:6" ht="20.100000000000001" customHeight="1" x14ac:dyDescent="0.2">
      <c r="A10" s="44"/>
      <c r="B10" s="2">
        <v>8</v>
      </c>
      <c r="C10" s="1" t="s">
        <v>386</v>
      </c>
      <c r="D10" s="1">
        <f t="shared" si="0"/>
        <v>40776</v>
      </c>
      <c r="E10" s="1" t="s">
        <v>925</v>
      </c>
      <c r="F10" s="38" t="s">
        <v>914</v>
      </c>
    </row>
    <row r="11" spans="1:6" ht="19.5" customHeight="1" x14ac:dyDescent="0.2">
      <c r="A11" s="44"/>
      <c r="B11" s="2">
        <v>9</v>
      </c>
      <c r="C11" s="1" t="s">
        <v>387</v>
      </c>
      <c r="D11" s="1">
        <f t="shared" si="0"/>
        <v>40777</v>
      </c>
      <c r="E11" s="1" t="s">
        <v>574</v>
      </c>
      <c r="F11" s="38"/>
    </row>
    <row r="12" spans="1:6" ht="20.100000000000001" customHeight="1" x14ac:dyDescent="0.2">
      <c r="A12" s="44"/>
      <c r="B12" s="2">
        <v>10</v>
      </c>
      <c r="C12" s="1" t="s">
        <v>388</v>
      </c>
      <c r="D12" s="1">
        <f t="shared" si="0"/>
        <v>40778</v>
      </c>
      <c r="E12" s="1" t="s">
        <v>575</v>
      </c>
      <c r="F12" s="1" t="s">
        <v>726</v>
      </c>
    </row>
    <row r="13" spans="1:6" ht="20.100000000000001" customHeight="1" x14ac:dyDescent="0.2">
      <c r="A13" s="44"/>
      <c r="B13" s="2">
        <v>11</v>
      </c>
      <c r="C13" s="1" t="s">
        <v>389</v>
      </c>
      <c r="D13" s="1">
        <f t="shared" si="0"/>
        <v>40779</v>
      </c>
      <c r="E13" s="1" t="s">
        <v>576</v>
      </c>
      <c r="F13" s="1" t="s">
        <v>1071</v>
      </c>
    </row>
    <row r="14" spans="1:6" ht="20.100000000000001" customHeight="1" x14ac:dyDescent="0.2">
      <c r="A14" s="44"/>
      <c r="B14" s="2">
        <v>12</v>
      </c>
      <c r="C14" s="1" t="s">
        <v>390</v>
      </c>
      <c r="D14" s="1">
        <f t="shared" si="0"/>
        <v>40780</v>
      </c>
      <c r="E14" s="1" t="s">
        <v>577</v>
      </c>
      <c r="F14" s="38" t="s">
        <v>915</v>
      </c>
    </row>
    <row r="15" spans="1:6" ht="20.100000000000001" customHeight="1" x14ac:dyDescent="0.2">
      <c r="A15" s="44"/>
      <c r="B15" s="2">
        <v>13</v>
      </c>
      <c r="C15" s="1" t="s">
        <v>391</v>
      </c>
      <c r="D15" s="1">
        <f t="shared" si="0"/>
        <v>40781</v>
      </c>
      <c r="E15" s="1" t="s">
        <v>578</v>
      </c>
      <c r="F15" s="38"/>
    </row>
    <row r="16" spans="1:6" ht="20.100000000000001" customHeight="1" x14ac:dyDescent="0.2">
      <c r="A16" s="44"/>
      <c r="B16" s="2">
        <v>14</v>
      </c>
      <c r="C16" s="1" t="s">
        <v>392</v>
      </c>
      <c r="D16" s="1">
        <f t="shared" si="0"/>
        <v>40782</v>
      </c>
      <c r="E16" s="1" t="s">
        <v>579</v>
      </c>
      <c r="F16" s="38" t="s">
        <v>917</v>
      </c>
    </row>
    <row r="17" spans="1:6" ht="20.100000000000001" customHeight="1" x14ac:dyDescent="0.2">
      <c r="A17" s="44"/>
      <c r="B17" s="2">
        <v>15</v>
      </c>
      <c r="C17" s="1" t="s">
        <v>393</v>
      </c>
      <c r="D17" s="1">
        <f t="shared" si="0"/>
        <v>40783</v>
      </c>
      <c r="E17" s="1" t="s">
        <v>580</v>
      </c>
      <c r="F17" s="38"/>
    </row>
    <row r="18" spans="1:6" ht="20.100000000000001" customHeight="1" x14ac:dyDescent="0.2">
      <c r="A18" s="44"/>
      <c r="B18" s="2">
        <v>16</v>
      </c>
      <c r="C18" s="1" t="s">
        <v>394</v>
      </c>
      <c r="D18" s="1">
        <f t="shared" si="0"/>
        <v>40784</v>
      </c>
      <c r="E18" s="1" t="s">
        <v>581</v>
      </c>
      <c r="F18" s="1" t="s">
        <v>721</v>
      </c>
    </row>
  </sheetData>
  <mergeCells count="6">
    <mergeCell ref="A2:A18"/>
    <mergeCell ref="E1:F1"/>
    <mergeCell ref="F8:F9"/>
    <mergeCell ref="F10:F11"/>
    <mergeCell ref="F14:F15"/>
    <mergeCell ref="F16:F1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58F8-35BF-414A-80C9-7C56C4374EE2}">
  <dimension ref="A1:N25"/>
  <sheetViews>
    <sheetView workbookViewId="0">
      <selection activeCell="K2" sqref="K2:L25"/>
    </sheetView>
  </sheetViews>
  <sheetFormatPr defaultRowHeight="20.100000000000001" customHeight="1" x14ac:dyDescent="0.2"/>
  <cols>
    <col min="1" max="1" width="6.125" style="8" customWidth="1"/>
    <col min="2" max="2" width="4.5" style="8" bestFit="1" customWidth="1"/>
    <col min="3" max="3" width="5.25" style="7" bestFit="1" customWidth="1"/>
    <col min="4" max="4" width="6" style="7" bestFit="1" customWidth="1"/>
    <col min="5" max="5" width="4.5" style="7" bestFit="1" customWidth="1"/>
    <col min="6" max="6" width="12.75" style="7" customWidth="1"/>
    <col min="7" max="7" width="5.25" style="7" bestFit="1" customWidth="1"/>
    <col min="8" max="8" width="15.25" style="7" bestFit="1" customWidth="1"/>
    <col min="9" max="9" width="5.25" style="7" bestFit="1" customWidth="1"/>
    <col min="10" max="10" width="17.625" style="7" bestFit="1" customWidth="1"/>
    <col min="11" max="11" width="5.25" style="7" bestFit="1" customWidth="1"/>
    <col min="12" max="12" width="17.375" style="7" customWidth="1"/>
    <col min="13" max="16384" width="9" style="7"/>
  </cols>
  <sheetData>
    <row r="1" spans="1:14" s="6" customFormat="1" ht="24" customHeight="1" x14ac:dyDescent="0.2">
      <c r="A1" s="5" t="s">
        <v>0</v>
      </c>
      <c r="B1" s="21" t="s">
        <v>1</v>
      </c>
      <c r="C1" s="5" t="s">
        <v>8</v>
      </c>
      <c r="D1" s="5" t="s">
        <v>417</v>
      </c>
      <c r="E1" s="59" t="s">
        <v>543</v>
      </c>
      <c r="F1" s="59"/>
      <c r="G1" s="59" t="s">
        <v>992</v>
      </c>
      <c r="H1" s="59"/>
      <c r="I1" s="59"/>
      <c r="J1" s="59"/>
      <c r="K1" s="59"/>
      <c r="L1" s="59"/>
      <c r="M1" s="59"/>
      <c r="N1" s="59"/>
    </row>
    <row r="2" spans="1:14" ht="27.75" customHeight="1" x14ac:dyDescent="0.2">
      <c r="A2" s="44" t="s">
        <v>377</v>
      </c>
      <c r="B2" s="2">
        <v>0</v>
      </c>
      <c r="C2" s="1" t="s">
        <v>481</v>
      </c>
      <c r="D2" s="1">
        <f>36865+8000-4096+B2-1</f>
        <v>40768</v>
      </c>
      <c r="E2" s="1" t="s">
        <v>170</v>
      </c>
      <c r="F2" s="1" t="s">
        <v>995</v>
      </c>
      <c r="G2" s="1" t="s">
        <v>996</v>
      </c>
      <c r="H2" s="1" t="s">
        <v>995</v>
      </c>
      <c r="I2" s="1" t="s">
        <v>996</v>
      </c>
      <c r="J2" s="1" t="s">
        <v>995</v>
      </c>
      <c r="K2" s="1" t="s">
        <v>996</v>
      </c>
      <c r="L2" s="1" t="s">
        <v>995</v>
      </c>
      <c r="M2" s="1" t="s">
        <v>996</v>
      </c>
      <c r="N2" s="1" t="s">
        <v>995</v>
      </c>
    </row>
    <row r="3" spans="1:14" ht="20.100000000000001" customHeight="1" x14ac:dyDescent="0.2">
      <c r="A3" s="44"/>
      <c r="B3" s="2">
        <v>1</v>
      </c>
      <c r="C3" s="1" t="s">
        <v>483</v>
      </c>
      <c r="D3" s="1">
        <f t="shared" ref="D3:D21" si="0">36865+8000-4096+B3-1</f>
        <v>40769</v>
      </c>
      <c r="E3" s="1"/>
      <c r="F3" s="2" t="s">
        <v>1023</v>
      </c>
      <c r="G3" s="1" t="s">
        <v>997</v>
      </c>
      <c r="H3" s="2" t="s">
        <v>989</v>
      </c>
      <c r="I3" s="1" t="s">
        <v>997</v>
      </c>
      <c r="J3" s="2" t="s">
        <v>990</v>
      </c>
      <c r="K3" s="1" t="s">
        <v>997</v>
      </c>
      <c r="L3" s="2" t="s">
        <v>991</v>
      </c>
      <c r="M3" s="1" t="s">
        <v>997</v>
      </c>
      <c r="N3" s="2" t="s">
        <v>1061</v>
      </c>
    </row>
    <row r="4" spans="1:14" ht="20.100000000000001" customHeight="1" x14ac:dyDescent="0.2">
      <c r="A4" s="44"/>
      <c r="B4" s="2">
        <v>2</v>
      </c>
      <c r="C4" s="1" t="s">
        <v>484</v>
      </c>
      <c r="D4" s="1">
        <f t="shared" si="0"/>
        <v>40770</v>
      </c>
      <c r="E4" s="1" t="s">
        <v>442</v>
      </c>
      <c r="F4" s="1" t="s">
        <v>544</v>
      </c>
      <c r="G4" s="1" t="s">
        <v>998</v>
      </c>
      <c r="H4" s="1" t="s">
        <v>482</v>
      </c>
      <c r="I4" s="1" t="s">
        <v>998</v>
      </c>
      <c r="J4" s="1"/>
      <c r="K4" s="1" t="s">
        <v>998</v>
      </c>
      <c r="L4" s="1"/>
      <c r="M4" s="1"/>
      <c r="N4" s="1"/>
    </row>
    <row r="5" spans="1:14" ht="20.100000000000001" customHeight="1" x14ac:dyDescent="0.2">
      <c r="A5" s="44"/>
      <c r="B5" s="2">
        <v>3</v>
      </c>
      <c r="C5" s="1" t="s">
        <v>485</v>
      </c>
      <c r="D5" s="1">
        <f t="shared" si="0"/>
        <v>40771</v>
      </c>
      <c r="E5" s="1" t="s">
        <v>443</v>
      </c>
      <c r="F5" s="1" t="s">
        <v>545</v>
      </c>
      <c r="G5" s="1" t="s">
        <v>999</v>
      </c>
      <c r="H5" s="1" t="s">
        <v>429</v>
      </c>
      <c r="I5" s="1" t="s">
        <v>999</v>
      </c>
      <c r="J5" s="1"/>
      <c r="K5" s="1" t="s">
        <v>999</v>
      </c>
      <c r="L5" s="1"/>
      <c r="M5" s="1"/>
      <c r="N5" s="1"/>
    </row>
    <row r="6" spans="1:14" ht="20.100000000000001" customHeight="1" x14ac:dyDescent="0.2">
      <c r="A6" s="44"/>
      <c r="B6" s="2">
        <v>4</v>
      </c>
      <c r="C6" s="1" t="s">
        <v>486</v>
      </c>
      <c r="D6" s="1">
        <f t="shared" si="0"/>
        <v>40772</v>
      </c>
      <c r="E6" s="1" t="s">
        <v>444</v>
      </c>
      <c r="F6" s="1" t="s">
        <v>546</v>
      </c>
      <c r="G6" s="1" t="s">
        <v>1000</v>
      </c>
      <c r="H6" s="1" t="s">
        <v>422</v>
      </c>
      <c r="I6" s="1" t="s">
        <v>1000</v>
      </c>
      <c r="J6" s="1"/>
      <c r="K6" s="1" t="s">
        <v>1000</v>
      </c>
      <c r="L6" s="1"/>
      <c r="M6" s="1"/>
      <c r="N6" s="1"/>
    </row>
    <row r="7" spans="1:14" ht="20.100000000000001" customHeight="1" x14ac:dyDescent="0.2">
      <c r="A7" s="44"/>
      <c r="B7" s="2">
        <v>5</v>
      </c>
      <c r="C7" s="1" t="s">
        <v>487</v>
      </c>
      <c r="D7" s="1">
        <f t="shared" si="0"/>
        <v>40773</v>
      </c>
      <c r="E7" s="1" t="s">
        <v>445</v>
      </c>
      <c r="F7" s="1" t="s">
        <v>547</v>
      </c>
      <c r="G7" s="1" t="s">
        <v>1001</v>
      </c>
      <c r="H7" s="1" t="s">
        <v>421</v>
      </c>
      <c r="I7" s="1" t="s">
        <v>1001</v>
      </c>
      <c r="J7" s="1"/>
      <c r="K7" s="1" t="s">
        <v>1001</v>
      </c>
      <c r="L7" s="1"/>
      <c r="M7" s="1"/>
      <c r="N7" s="1"/>
    </row>
    <row r="8" spans="1:14" ht="20.100000000000001" customHeight="1" x14ac:dyDescent="0.2">
      <c r="A8" s="44"/>
      <c r="B8" s="2">
        <v>6</v>
      </c>
      <c r="C8" s="1" t="s">
        <v>488</v>
      </c>
      <c r="D8" s="1">
        <f t="shared" si="0"/>
        <v>40774</v>
      </c>
      <c r="E8" s="1" t="s">
        <v>446</v>
      </c>
      <c r="F8" s="1" t="s">
        <v>548</v>
      </c>
      <c r="G8" s="1" t="s">
        <v>1002</v>
      </c>
      <c r="H8" s="1" t="s">
        <v>423</v>
      </c>
      <c r="I8" s="1" t="s">
        <v>1002</v>
      </c>
      <c r="J8" s="1"/>
      <c r="K8" s="1" t="s">
        <v>1002</v>
      </c>
      <c r="L8" s="1"/>
      <c r="M8" s="1"/>
      <c r="N8" s="1"/>
    </row>
    <row r="9" spans="1:14" ht="20.100000000000001" customHeight="1" x14ac:dyDescent="0.2">
      <c r="A9" s="44"/>
      <c r="B9" s="2">
        <v>7</v>
      </c>
      <c r="C9" s="1" t="s">
        <v>489</v>
      </c>
      <c r="D9" s="1">
        <f t="shared" si="0"/>
        <v>40775</v>
      </c>
      <c r="E9" s="1" t="s">
        <v>447</v>
      </c>
      <c r="F9" s="1" t="s">
        <v>549</v>
      </c>
      <c r="G9" s="1" t="s">
        <v>1003</v>
      </c>
      <c r="H9" s="1" t="s">
        <v>424</v>
      </c>
      <c r="I9" s="1" t="s">
        <v>1003</v>
      </c>
      <c r="J9" s="2"/>
      <c r="K9" s="1" t="s">
        <v>1003</v>
      </c>
      <c r="L9" s="1"/>
      <c r="M9" s="1"/>
      <c r="N9" s="1"/>
    </row>
    <row r="10" spans="1:14" ht="20.100000000000001" customHeight="1" x14ac:dyDescent="0.2">
      <c r="A10" s="44"/>
      <c r="B10" s="2">
        <v>8</v>
      </c>
      <c r="C10" s="1" t="s">
        <v>490</v>
      </c>
      <c r="D10" s="1">
        <f t="shared" si="0"/>
        <v>40776</v>
      </c>
      <c r="E10" s="1" t="s">
        <v>454</v>
      </c>
      <c r="F10" s="1" t="s">
        <v>448</v>
      </c>
      <c r="G10" s="1" t="s">
        <v>1004</v>
      </c>
      <c r="H10" s="1" t="s">
        <v>425</v>
      </c>
      <c r="I10" s="1" t="s">
        <v>1004</v>
      </c>
      <c r="J10" s="1"/>
      <c r="K10" s="1" t="s">
        <v>1004</v>
      </c>
      <c r="L10" s="1"/>
      <c r="M10" s="1"/>
      <c r="N10" s="1"/>
    </row>
    <row r="11" spans="1:14" ht="20.100000000000001" customHeight="1" x14ac:dyDescent="0.2">
      <c r="A11" s="44"/>
      <c r="B11" s="2">
        <v>9</v>
      </c>
      <c r="C11" s="1" t="s">
        <v>491</v>
      </c>
      <c r="D11" s="1">
        <f t="shared" si="0"/>
        <v>40777</v>
      </c>
      <c r="E11" s="1" t="s">
        <v>455</v>
      </c>
      <c r="F11" s="1" t="s">
        <v>449</v>
      </c>
      <c r="G11" s="1" t="s">
        <v>1005</v>
      </c>
      <c r="H11" s="1"/>
      <c r="I11" s="1" t="s">
        <v>1005</v>
      </c>
      <c r="J11" s="1" t="s">
        <v>426</v>
      </c>
      <c r="K11" s="1" t="s">
        <v>1005</v>
      </c>
      <c r="L11" s="1"/>
      <c r="M11" s="1"/>
      <c r="N11" s="1"/>
    </row>
    <row r="12" spans="1:14" ht="20.100000000000001" customHeight="1" x14ac:dyDescent="0.2">
      <c r="A12" s="44"/>
      <c r="B12" s="2">
        <v>10</v>
      </c>
      <c r="C12" s="1" t="s">
        <v>492</v>
      </c>
      <c r="D12" s="1">
        <f t="shared" si="0"/>
        <v>40778</v>
      </c>
      <c r="E12" s="1" t="s">
        <v>456</v>
      </c>
      <c r="F12" s="1" t="s">
        <v>450</v>
      </c>
      <c r="G12" s="1" t="s">
        <v>1006</v>
      </c>
      <c r="H12" s="1"/>
      <c r="I12" s="1" t="s">
        <v>1006</v>
      </c>
      <c r="J12" s="1" t="s">
        <v>1060</v>
      </c>
      <c r="K12" s="1" t="s">
        <v>1006</v>
      </c>
      <c r="L12" s="1"/>
      <c r="M12" s="1"/>
      <c r="N12" s="1"/>
    </row>
    <row r="13" spans="1:14" ht="20.100000000000001" customHeight="1" x14ac:dyDescent="0.2">
      <c r="A13" s="44"/>
      <c r="B13" s="2">
        <v>11</v>
      </c>
      <c r="C13" s="1" t="s">
        <v>493</v>
      </c>
      <c r="D13" s="1">
        <f t="shared" si="0"/>
        <v>40779</v>
      </c>
      <c r="E13" s="1" t="s">
        <v>457</v>
      </c>
      <c r="F13" s="1" t="s">
        <v>451</v>
      </c>
      <c r="G13" s="1" t="s">
        <v>1007</v>
      </c>
      <c r="H13" s="1"/>
      <c r="I13" s="1" t="s">
        <v>1007</v>
      </c>
      <c r="J13" s="1" t="s">
        <v>427</v>
      </c>
      <c r="K13" s="1" t="s">
        <v>1007</v>
      </c>
      <c r="L13" s="1"/>
      <c r="M13" s="1"/>
      <c r="N13" s="1"/>
    </row>
    <row r="14" spans="1:14" ht="43.5" customHeight="1" x14ac:dyDescent="0.2">
      <c r="A14" s="44"/>
      <c r="B14" s="2">
        <v>12</v>
      </c>
      <c r="C14" s="1" t="s">
        <v>494</v>
      </c>
      <c r="D14" s="1">
        <f t="shared" si="0"/>
        <v>40780</v>
      </c>
      <c r="E14" s="1" t="s">
        <v>458</v>
      </c>
      <c r="F14" s="1" t="s">
        <v>452</v>
      </c>
      <c r="G14" s="1" t="s">
        <v>1008</v>
      </c>
      <c r="H14" s="1"/>
      <c r="I14" s="1" t="s">
        <v>1008</v>
      </c>
      <c r="J14" s="1" t="s">
        <v>428</v>
      </c>
      <c r="K14" s="1" t="s">
        <v>1008</v>
      </c>
      <c r="L14" s="1"/>
      <c r="M14" s="1"/>
      <c r="N14" s="1"/>
    </row>
    <row r="15" spans="1:14" ht="20.100000000000001" customHeight="1" x14ac:dyDescent="0.2">
      <c r="A15" s="44"/>
      <c r="B15" s="2">
        <v>13</v>
      </c>
      <c r="C15" s="1" t="s">
        <v>495</v>
      </c>
      <c r="D15" s="1">
        <f t="shared" si="0"/>
        <v>40781</v>
      </c>
      <c r="E15" s="1" t="s">
        <v>459</v>
      </c>
      <c r="F15" s="1" t="s">
        <v>453</v>
      </c>
      <c r="G15" s="1" t="s">
        <v>1009</v>
      </c>
      <c r="H15" s="1"/>
      <c r="I15" s="1" t="s">
        <v>1009</v>
      </c>
      <c r="J15" s="1"/>
      <c r="K15" s="1" t="s">
        <v>1009</v>
      </c>
      <c r="L15" s="2" t="s">
        <v>568</v>
      </c>
      <c r="M15" s="1"/>
      <c r="N15" s="1"/>
    </row>
    <row r="16" spans="1:14" ht="20.100000000000001" customHeight="1" x14ac:dyDescent="0.2">
      <c r="A16" s="44"/>
      <c r="B16" s="2">
        <v>14</v>
      </c>
      <c r="C16" s="1" t="s">
        <v>496</v>
      </c>
      <c r="D16" s="1">
        <f t="shared" si="0"/>
        <v>40782</v>
      </c>
      <c r="E16" s="1"/>
      <c r="F16" s="1"/>
      <c r="G16" s="1" t="s">
        <v>1010</v>
      </c>
      <c r="H16" s="1"/>
      <c r="I16" s="1" t="s">
        <v>1010</v>
      </c>
      <c r="J16" s="1"/>
      <c r="K16" s="1" t="s">
        <v>1010</v>
      </c>
      <c r="L16" s="1" t="s">
        <v>418</v>
      </c>
      <c r="M16" s="1"/>
      <c r="N16" s="1"/>
    </row>
    <row r="17" spans="1:14" ht="20.100000000000001" customHeight="1" x14ac:dyDescent="0.2">
      <c r="A17" s="44"/>
      <c r="B17" s="2">
        <v>15</v>
      </c>
      <c r="C17" s="1" t="s">
        <v>497</v>
      </c>
      <c r="D17" s="1">
        <f t="shared" si="0"/>
        <v>40783</v>
      </c>
      <c r="E17" s="1"/>
      <c r="F17" s="1"/>
      <c r="G17" s="1" t="s">
        <v>1011</v>
      </c>
      <c r="H17" s="1"/>
      <c r="I17" s="1" t="s">
        <v>1011</v>
      </c>
      <c r="J17" s="1"/>
      <c r="K17" s="1" t="s">
        <v>1011</v>
      </c>
      <c r="L17" s="1" t="s">
        <v>419</v>
      </c>
      <c r="M17" s="1"/>
      <c r="N17" s="1"/>
    </row>
    <row r="18" spans="1:14" ht="20.100000000000001" customHeight="1" x14ac:dyDescent="0.2">
      <c r="A18" s="44"/>
      <c r="B18" s="2">
        <v>16</v>
      </c>
      <c r="C18" s="1" t="s">
        <v>498</v>
      </c>
      <c r="D18" s="1">
        <f t="shared" si="0"/>
        <v>40784</v>
      </c>
      <c r="E18" s="1"/>
      <c r="F18" s="1"/>
      <c r="G18" s="1" t="s">
        <v>1012</v>
      </c>
      <c r="H18" s="1"/>
      <c r="I18" s="1" t="s">
        <v>1012</v>
      </c>
      <c r="J18" s="1"/>
      <c r="K18" s="1" t="s">
        <v>1012</v>
      </c>
      <c r="L18" s="1" t="s">
        <v>420</v>
      </c>
      <c r="M18" s="1"/>
      <c r="N18" s="1"/>
    </row>
    <row r="19" spans="1:14" ht="20.100000000000001" customHeight="1" x14ac:dyDescent="0.2">
      <c r="A19" s="44"/>
      <c r="B19" s="2">
        <v>17</v>
      </c>
      <c r="C19" s="1" t="s">
        <v>499</v>
      </c>
      <c r="D19" s="1">
        <f t="shared" si="0"/>
        <v>40785</v>
      </c>
      <c r="E19" s="1"/>
      <c r="F19" s="1"/>
      <c r="G19" s="1" t="s">
        <v>1013</v>
      </c>
      <c r="H19" s="1"/>
      <c r="I19" s="1" t="s">
        <v>1013</v>
      </c>
      <c r="J19" s="1"/>
      <c r="K19" s="1" t="s">
        <v>1013</v>
      </c>
      <c r="L19" s="1" t="s">
        <v>816</v>
      </c>
      <c r="M19" s="1"/>
      <c r="N19" s="1"/>
    </row>
    <row r="20" spans="1:14" ht="20.100000000000001" customHeight="1" x14ac:dyDescent="0.2">
      <c r="A20" s="44"/>
      <c r="B20" s="2">
        <v>18</v>
      </c>
      <c r="C20" s="1" t="s">
        <v>500</v>
      </c>
      <c r="D20" s="1">
        <f t="shared" si="0"/>
        <v>40786</v>
      </c>
      <c r="E20" s="1"/>
      <c r="F20" s="1"/>
      <c r="G20" s="1" t="s">
        <v>1014</v>
      </c>
      <c r="H20" s="1"/>
      <c r="I20" s="1" t="s">
        <v>1014</v>
      </c>
      <c r="J20" s="1"/>
      <c r="K20" s="1" t="s">
        <v>1014</v>
      </c>
      <c r="L20" s="1" t="s">
        <v>817</v>
      </c>
      <c r="M20" s="1"/>
      <c r="N20" s="1"/>
    </row>
    <row r="21" spans="1:14" ht="20.100000000000001" customHeight="1" x14ac:dyDescent="0.2">
      <c r="A21" s="44"/>
      <c r="B21" s="2">
        <v>19</v>
      </c>
      <c r="C21" s="1" t="s">
        <v>501</v>
      </c>
      <c r="D21" s="1">
        <f t="shared" si="0"/>
        <v>40787</v>
      </c>
      <c r="E21" s="1"/>
      <c r="F21" s="1"/>
      <c r="G21" s="1" t="s">
        <v>1015</v>
      </c>
      <c r="H21" s="1"/>
      <c r="I21" s="1" t="s">
        <v>1015</v>
      </c>
      <c r="J21" s="1"/>
      <c r="K21" s="1" t="s">
        <v>1015</v>
      </c>
      <c r="L21" s="1" t="s">
        <v>818</v>
      </c>
      <c r="M21" s="1"/>
      <c r="N21" s="1"/>
    </row>
    <row r="22" spans="1:14" ht="20.100000000000001" customHeight="1" x14ac:dyDescent="0.2">
      <c r="A22" s="44"/>
      <c r="B22" s="2">
        <v>20</v>
      </c>
      <c r="C22" s="1" t="s">
        <v>529</v>
      </c>
      <c r="D22" s="1">
        <f t="shared" ref="D22:D24" si="1">36865+8000-4096+B22-1</f>
        <v>40788</v>
      </c>
      <c r="E22" s="1"/>
      <c r="F22" s="1"/>
      <c r="G22" s="1" t="s">
        <v>1016</v>
      </c>
      <c r="H22" s="1"/>
      <c r="I22" s="1" t="s">
        <v>1016</v>
      </c>
      <c r="J22" s="1"/>
      <c r="K22" s="1" t="s">
        <v>1016</v>
      </c>
      <c r="L22" s="1" t="s">
        <v>819</v>
      </c>
      <c r="M22" s="1"/>
      <c r="N22" s="1"/>
    </row>
    <row r="23" spans="1:14" ht="20.100000000000001" customHeight="1" x14ac:dyDescent="0.2">
      <c r="A23" s="44"/>
      <c r="B23" s="2">
        <v>21</v>
      </c>
      <c r="C23" s="1" t="s">
        <v>986</v>
      </c>
      <c r="D23" s="1">
        <f t="shared" si="1"/>
        <v>40789</v>
      </c>
      <c r="E23" s="1"/>
      <c r="F23" s="1"/>
      <c r="G23" s="1" t="s">
        <v>1017</v>
      </c>
      <c r="H23" s="1"/>
      <c r="I23" s="1" t="s">
        <v>1017</v>
      </c>
      <c r="J23" s="1"/>
      <c r="K23" s="1" t="s">
        <v>1017</v>
      </c>
      <c r="L23" s="1" t="s">
        <v>820</v>
      </c>
      <c r="M23" s="1"/>
      <c r="N23" s="1"/>
    </row>
    <row r="24" spans="1:14" ht="20.100000000000001" customHeight="1" x14ac:dyDescent="0.2">
      <c r="A24" s="44"/>
      <c r="B24" s="2">
        <v>22</v>
      </c>
      <c r="C24" s="1" t="s">
        <v>987</v>
      </c>
      <c r="D24" s="1">
        <f t="shared" si="1"/>
        <v>40790</v>
      </c>
      <c r="E24" s="1"/>
      <c r="F24" s="1"/>
      <c r="G24" s="1" t="s">
        <v>1018</v>
      </c>
      <c r="H24" s="1"/>
      <c r="I24" s="1" t="s">
        <v>1018</v>
      </c>
      <c r="J24" s="1"/>
      <c r="K24" s="1" t="s">
        <v>1018</v>
      </c>
      <c r="L24" s="1" t="s">
        <v>821</v>
      </c>
      <c r="M24" s="1"/>
      <c r="N24" s="1"/>
    </row>
    <row r="25" spans="1:14" ht="20.100000000000001" customHeight="1" x14ac:dyDescent="0.2">
      <c r="A25" s="44"/>
      <c r="B25" s="2">
        <v>23</v>
      </c>
      <c r="C25" s="1" t="s">
        <v>988</v>
      </c>
      <c r="D25" s="1">
        <f t="shared" ref="D25" si="2">36865+8000-4096+B25-1</f>
        <v>40791</v>
      </c>
      <c r="E25" s="1"/>
      <c r="F25" s="1"/>
      <c r="G25" s="1" t="s">
        <v>1019</v>
      </c>
      <c r="H25" s="1"/>
      <c r="I25" s="1" t="s">
        <v>1019</v>
      </c>
      <c r="J25" s="1"/>
      <c r="K25" s="1" t="s">
        <v>1019</v>
      </c>
      <c r="L25" s="1" t="s">
        <v>822</v>
      </c>
      <c r="M25" s="1"/>
      <c r="N25" s="1"/>
    </row>
  </sheetData>
  <mergeCells count="3">
    <mergeCell ref="E1:F1"/>
    <mergeCell ref="A2:A25"/>
    <mergeCell ref="G1:N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11A5-4FA8-49DF-A0E8-D472EDCBBAE9}">
  <dimension ref="A1:U15"/>
  <sheetViews>
    <sheetView workbookViewId="0">
      <selection activeCell="J23" sqref="J23"/>
    </sheetView>
  </sheetViews>
  <sheetFormatPr defaultRowHeight="20.100000000000001" customHeight="1" x14ac:dyDescent="0.2"/>
  <cols>
    <col min="1" max="1" width="6.125" style="8" customWidth="1"/>
    <col min="2" max="2" width="4.5" style="8" bestFit="1" customWidth="1"/>
    <col min="3" max="3" width="4.5" style="7" bestFit="1" customWidth="1"/>
    <col min="4" max="4" width="4.5" style="7" customWidth="1"/>
    <col min="5" max="5" width="5.25" style="7" bestFit="1" customWidth="1"/>
    <col min="6" max="6" width="4.5" style="7" bestFit="1" customWidth="1"/>
    <col min="7" max="7" width="5.25" style="7" bestFit="1" customWidth="1"/>
    <col min="8" max="8" width="4.5" style="7" bestFit="1" customWidth="1"/>
    <col min="9" max="9" width="5.25" style="7" customWidth="1"/>
    <col min="10" max="10" width="7.5" style="7" bestFit="1" customWidth="1"/>
    <col min="11" max="11" width="5.25" style="7" customWidth="1"/>
    <col min="12" max="12" width="7.5" style="7" bestFit="1" customWidth="1"/>
    <col min="13" max="13" width="5.25" style="7" bestFit="1" customWidth="1"/>
    <col min="14" max="14" width="7.5" style="7" bestFit="1" customWidth="1"/>
    <col min="15" max="15" width="5.25" style="7" bestFit="1" customWidth="1"/>
    <col min="16" max="16" width="7.5" style="7" bestFit="1" customWidth="1"/>
    <col min="17" max="17" width="5.25" style="7" bestFit="1" customWidth="1"/>
    <col min="18" max="18" width="4.5" style="7" bestFit="1" customWidth="1"/>
    <col min="19" max="19" width="5.25" style="7" bestFit="1" customWidth="1"/>
    <col min="20" max="20" width="4.5" style="7" bestFit="1" customWidth="1"/>
    <col min="21" max="16384" width="9" style="7"/>
  </cols>
  <sheetData>
    <row r="1" spans="1:21" s="6" customFormat="1" ht="20.100000000000001" customHeight="1" x14ac:dyDescent="0.2">
      <c r="A1" s="5" t="s">
        <v>0</v>
      </c>
      <c r="B1" s="5" t="s">
        <v>1</v>
      </c>
      <c r="C1" s="60" t="s">
        <v>8</v>
      </c>
      <c r="D1" s="61"/>
      <c r="E1" s="44" t="s">
        <v>703</v>
      </c>
      <c r="F1" s="44"/>
      <c r="G1" s="44" t="s">
        <v>704</v>
      </c>
      <c r="H1" s="44"/>
      <c r="I1" s="44" t="s">
        <v>705</v>
      </c>
      <c r="J1" s="44"/>
      <c r="K1" s="44" t="s">
        <v>706</v>
      </c>
      <c r="L1" s="44"/>
      <c r="M1" s="44" t="s">
        <v>707</v>
      </c>
      <c r="N1" s="44"/>
      <c r="O1" s="44" t="s">
        <v>708</v>
      </c>
      <c r="P1" s="44"/>
      <c r="Q1" s="44" t="s">
        <v>709</v>
      </c>
      <c r="R1" s="44"/>
      <c r="S1" s="44" t="s">
        <v>710</v>
      </c>
      <c r="T1" s="44"/>
      <c r="U1" s="5" t="s">
        <v>364</v>
      </c>
    </row>
    <row r="2" spans="1:21" ht="20.100000000000001" customHeight="1" x14ac:dyDescent="0.2">
      <c r="A2" s="44" t="s">
        <v>711</v>
      </c>
      <c r="B2" s="2">
        <v>0</v>
      </c>
      <c r="C2" s="1" t="s">
        <v>655</v>
      </c>
      <c r="D2" s="1" t="s">
        <v>963</v>
      </c>
      <c r="E2" s="1" t="s">
        <v>712</v>
      </c>
      <c r="F2" s="2" t="s">
        <v>713</v>
      </c>
      <c r="G2" s="1" t="s">
        <v>712</v>
      </c>
      <c r="H2" s="2" t="s">
        <v>713</v>
      </c>
      <c r="I2" s="1" t="s">
        <v>712</v>
      </c>
      <c r="J2" s="2" t="s">
        <v>713</v>
      </c>
      <c r="K2" s="1" t="s">
        <v>712</v>
      </c>
      <c r="L2" s="2" t="s">
        <v>713</v>
      </c>
      <c r="M2" s="1" t="s">
        <v>712</v>
      </c>
      <c r="N2" s="2" t="s">
        <v>713</v>
      </c>
      <c r="O2" s="1" t="s">
        <v>712</v>
      </c>
      <c r="P2" s="2" t="s">
        <v>713</v>
      </c>
      <c r="Q2" s="1" t="s">
        <v>712</v>
      </c>
      <c r="R2" s="2" t="s">
        <v>713</v>
      </c>
      <c r="S2" s="1" t="s">
        <v>712</v>
      </c>
      <c r="T2" s="2" t="s">
        <v>713</v>
      </c>
      <c r="U2" s="1"/>
    </row>
    <row r="3" spans="1:21" ht="20.100000000000001" customHeight="1" x14ac:dyDescent="0.2">
      <c r="A3" s="44"/>
      <c r="B3" s="2">
        <v>1</v>
      </c>
      <c r="C3" s="1" t="s">
        <v>656</v>
      </c>
      <c r="D3" s="1" t="s">
        <v>965</v>
      </c>
      <c r="E3" s="1"/>
      <c r="F3" s="2"/>
      <c r="G3" s="1"/>
      <c r="H3" s="2"/>
      <c r="I3" s="38" t="s">
        <v>714</v>
      </c>
      <c r="J3" s="44" t="s">
        <v>913</v>
      </c>
      <c r="K3" s="38" t="s">
        <v>715</v>
      </c>
      <c r="L3" s="44" t="s">
        <v>913</v>
      </c>
      <c r="M3" s="1"/>
      <c r="N3" s="1"/>
      <c r="O3" s="1"/>
      <c r="P3" s="1"/>
      <c r="Q3" s="1"/>
      <c r="R3" s="2"/>
      <c r="S3" s="1"/>
      <c r="T3" s="2"/>
      <c r="U3" s="1"/>
    </row>
    <row r="4" spans="1:21" ht="20.100000000000001" customHeight="1" x14ac:dyDescent="0.2">
      <c r="A4" s="44"/>
      <c r="B4" s="2">
        <v>2</v>
      </c>
      <c r="C4" s="1" t="s">
        <v>657</v>
      </c>
      <c r="D4" s="1" t="s">
        <v>966</v>
      </c>
      <c r="E4" s="1"/>
      <c r="F4" s="1"/>
      <c r="G4" s="1"/>
      <c r="H4" s="1"/>
      <c r="I4" s="38"/>
      <c r="J4" s="44"/>
      <c r="K4" s="38"/>
      <c r="L4" s="44"/>
      <c r="M4" s="1"/>
      <c r="N4" s="1"/>
      <c r="O4" s="1"/>
      <c r="P4" s="1"/>
      <c r="Q4" s="1"/>
      <c r="R4" s="1"/>
      <c r="S4" s="1"/>
      <c r="T4" s="1"/>
      <c r="U4" s="1"/>
    </row>
    <row r="5" spans="1:21" ht="20.100000000000001" customHeight="1" x14ac:dyDescent="0.2">
      <c r="A5" s="44"/>
      <c r="B5" s="2">
        <v>3</v>
      </c>
      <c r="C5" s="1" t="s">
        <v>658</v>
      </c>
      <c r="D5" s="1" t="s">
        <v>967</v>
      </c>
      <c r="E5" s="1"/>
      <c r="F5" s="1"/>
      <c r="G5" s="1"/>
      <c r="H5" s="1"/>
      <c r="I5" s="38" t="s">
        <v>718</v>
      </c>
      <c r="J5" s="44" t="s">
        <v>914</v>
      </c>
      <c r="K5" s="38" t="s">
        <v>719</v>
      </c>
      <c r="L5" s="44" t="s">
        <v>914</v>
      </c>
      <c r="M5" s="1"/>
      <c r="N5" s="1"/>
      <c r="O5" s="1"/>
      <c r="P5" s="1"/>
      <c r="Q5" s="1"/>
      <c r="R5" s="1"/>
      <c r="S5" s="1"/>
      <c r="T5" s="1"/>
      <c r="U5" s="1"/>
    </row>
    <row r="6" spans="1:21" ht="20.100000000000001" customHeight="1" x14ac:dyDescent="0.2">
      <c r="A6" s="44"/>
      <c r="B6" s="2">
        <v>4</v>
      </c>
      <c r="C6" s="1" t="s">
        <v>659</v>
      </c>
      <c r="D6" s="1" t="s">
        <v>968</v>
      </c>
      <c r="E6" s="1"/>
      <c r="F6" s="1"/>
      <c r="G6" s="1"/>
      <c r="H6" s="1"/>
      <c r="I6" s="38"/>
      <c r="J6" s="44"/>
      <c r="K6" s="38"/>
      <c r="L6" s="44"/>
      <c r="M6" s="1"/>
      <c r="N6" s="1"/>
      <c r="O6" s="1"/>
      <c r="P6" s="1"/>
      <c r="Q6" s="1"/>
      <c r="R6" s="1"/>
      <c r="S6" s="1"/>
      <c r="T6" s="1"/>
      <c r="U6" s="1"/>
    </row>
    <row r="7" spans="1:21" ht="20.100000000000001" customHeight="1" x14ac:dyDescent="0.2">
      <c r="A7" s="44"/>
      <c r="B7" s="2">
        <v>5</v>
      </c>
      <c r="C7" s="1" t="s">
        <v>660</v>
      </c>
      <c r="D7" s="1" t="s">
        <v>969</v>
      </c>
      <c r="E7" s="1"/>
      <c r="F7" s="1"/>
      <c r="G7" s="1"/>
      <c r="H7" s="1"/>
      <c r="I7" s="1" t="s">
        <v>725</v>
      </c>
      <c r="J7" s="1" t="s">
        <v>726</v>
      </c>
      <c r="K7" s="1" t="s">
        <v>727</v>
      </c>
      <c r="L7" s="1" t="s">
        <v>726</v>
      </c>
      <c r="M7" s="1"/>
      <c r="N7" s="1"/>
      <c r="O7" s="1"/>
      <c r="P7" s="1"/>
      <c r="Q7" s="1"/>
      <c r="R7" s="1"/>
      <c r="S7" s="1"/>
      <c r="T7" s="1"/>
      <c r="U7" s="1"/>
    </row>
    <row r="8" spans="1:21" ht="20.100000000000001" customHeight="1" x14ac:dyDescent="0.2">
      <c r="A8" s="44"/>
      <c r="B8" s="2">
        <v>6</v>
      </c>
      <c r="C8" s="1" t="s">
        <v>661</v>
      </c>
      <c r="D8" s="1" t="s">
        <v>970</v>
      </c>
      <c r="E8" s="1"/>
      <c r="F8" s="1"/>
      <c r="G8" s="1"/>
      <c r="H8" s="1"/>
      <c r="I8" s="1" t="s">
        <v>728</v>
      </c>
      <c r="J8" s="1" t="s">
        <v>729</v>
      </c>
      <c r="K8" s="1" t="s">
        <v>730</v>
      </c>
      <c r="L8" s="1" t="s">
        <v>729</v>
      </c>
      <c r="M8" s="1"/>
      <c r="N8" s="1"/>
      <c r="O8" s="1"/>
      <c r="P8" s="1"/>
      <c r="Q8" s="1"/>
      <c r="R8" s="1"/>
      <c r="S8" s="1"/>
      <c r="T8" s="1"/>
      <c r="U8" s="1"/>
    </row>
    <row r="9" spans="1:21" ht="20.100000000000001" customHeight="1" x14ac:dyDescent="0.2">
      <c r="A9" s="44"/>
      <c r="B9" s="2">
        <v>7</v>
      </c>
      <c r="C9" s="1" t="s">
        <v>662</v>
      </c>
      <c r="D9" s="1" t="s">
        <v>971</v>
      </c>
      <c r="E9" s="1"/>
      <c r="F9" s="1"/>
      <c r="G9" s="1"/>
      <c r="H9" s="1"/>
      <c r="I9" s="1"/>
      <c r="J9" s="1"/>
      <c r="K9" s="1"/>
      <c r="L9" s="1"/>
      <c r="M9" s="38" t="s">
        <v>716</v>
      </c>
      <c r="N9" s="44" t="s">
        <v>915</v>
      </c>
      <c r="O9" s="38" t="s">
        <v>717</v>
      </c>
      <c r="P9" s="44" t="s">
        <v>915</v>
      </c>
      <c r="Q9" s="1"/>
      <c r="R9" s="1"/>
      <c r="S9" s="1"/>
      <c r="T9" s="1"/>
      <c r="U9" s="1"/>
    </row>
    <row r="10" spans="1:21" ht="20.100000000000001" customHeight="1" x14ac:dyDescent="0.2">
      <c r="A10" s="44"/>
      <c r="B10" s="2">
        <v>8</v>
      </c>
      <c r="C10" s="1" t="s">
        <v>663</v>
      </c>
      <c r="D10" s="1" t="s">
        <v>972</v>
      </c>
      <c r="E10" s="1"/>
      <c r="F10" s="1"/>
      <c r="G10" s="1"/>
      <c r="H10" s="1"/>
      <c r="I10" s="1"/>
      <c r="J10" s="1"/>
      <c r="K10" s="1"/>
      <c r="L10" s="1"/>
      <c r="M10" s="38"/>
      <c r="N10" s="44"/>
      <c r="O10" s="38"/>
      <c r="P10" s="44"/>
      <c r="Q10" s="1"/>
      <c r="R10" s="1"/>
      <c r="S10" s="1"/>
      <c r="T10" s="1"/>
      <c r="U10" s="1"/>
    </row>
    <row r="11" spans="1:21" ht="20.100000000000001" customHeight="1" x14ac:dyDescent="0.2">
      <c r="A11" s="44"/>
      <c r="B11" s="2">
        <v>9</v>
      </c>
      <c r="C11" s="1" t="s">
        <v>664</v>
      </c>
      <c r="D11" s="1" t="s">
        <v>973</v>
      </c>
      <c r="E11" s="1"/>
      <c r="F11" s="1"/>
      <c r="G11" s="1"/>
      <c r="H11" s="1"/>
      <c r="I11" s="1"/>
      <c r="J11" s="1"/>
      <c r="K11" s="1"/>
      <c r="L11" s="1"/>
      <c r="M11" s="38" t="s">
        <v>720</v>
      </c>
      <c r="N11" s="44" t="s">
        <v>917</v>
      </c>
      <c r="O11" s="44" t="s">
        <v>722</v>
      </c>
      <c r="P11" s="44" t="s">
        <v>917</v>
      </c>
      <c r="Q11" s="1"/>
      <c r="R11" s="1"/>
      <c r="S11" s="1"/>
      <c r="T11" s="1"/>
      <c r="U11" s="1"/>
    </row>
    <row r="12" spans="1:21" ht="20.100000000000001" customHeight="1" x14ac:dyDescent="0.2">
      <c r="A12" s="44"/>
      <c r="B12" s="2">
        <v>10</v>
      </c>
      <c r="C12" s="1" t="s">
        <v>665</v>
      </c>
      <c r="D12" s="1" t="s">
        <v>974</v>
      </c>
      <c r="E12" s="1"/>
      <c r="F12" s="1"/>
      <c r="G12" s="1"/>
      <c r="H12" s="1"/>
      <c r="I12" s="1"/>
      <c r="J12" s="1"/>
      <c r="K12" s="1"/>
      <c r="L12" s="1"/>
      <c r="M12" s="38"/>
      <c r="N12" s="44"/>
      <c r="O12" s="44"/>
      <c r="P12" s="44"/>
      <c r="Q12" s="1"/>
      <c r="R12" s="1"/>
      <c r="S12" s="1"/>
      <c r="T12" s="1"/>
      <c r="U12" s="1"/>
    </row>
    <row r="13" spans="1:21" ht="20.100000000000001" customHeight="1" x14ac:dyDescent="0.2">
      <c r="A13" s="44"/>
      <c r="B13" s="2">
        <v>11</v>
      </c>
      <c r="C13" s="1" t="s">
        <v>960</v>
      </c>
      <c r="D13" s="1" t="s">
        <v>975</v>
      </c>
      <c r="E13" s="1"/>
      <c r="F13" s="1"/>
      <c r="G13" s="1"/>
      <c r="H13" s="1"/>
      <c r="I13" s="1"/>
      <c r="J13" s="1"/>
      <c r="K13" s="1"/>
      <c r="L13" s="1"/>
      <c r="M13" s="1" t="s">
        <v>723</v>
      </c>
      <c r="N13" s="1" t="s">
        <v>721</v>
      </c>
      <c r="O13" s="1" t="s">
        <v>724</v>
      </c>
      <c r="P13" s="1" t="s">
        <v>721</v>
      </c>
      <c r="Q13" s="1"/>
      <c r="R13" s="1"/>
      <c r="S13" s="1"/>
      <c r="T13" s="1"/>
      <c r="U13" s="1"/>
    </row>
    <row r="14" spans="1:21" ht="20.100000000000001" customHeight="1" x14ac:dyDescent="0.2">
      <c r="A14" s="44"/>
      <c r="B14" s="2">
        <v>12</v>
      </c>
      <c r="C14" s="1" t="s">
        <v>961</v>
      </c>
      <c r="D14" s="1" t="s">
        <v>976</v>
      </c>
      <c r="E14" s="2"/>
      <c r="F14" s="2" t="s">
        <v>731</v>
      </c>
      <c r="G14" s="1"/>
      <c r="H14" s="2" t="s">
        <v>731</v>
      </c>
      <c r="I14" s="1"/>
      <c r="J14" s="2" t="s">
        <v>731</v>
      </c>
      <c r="K14" s="1"/>
      <c r="L14" s="2" t="s">
        <v>731</v>
      </c>
      <c r="M14" s="1"/>
      <c r="N14" s="2" t="s">
        <v>731</v>
      </c>
      <c r="O14" s="1"/>
      <c r="P14" s="2" t="s">
        <v>731</v>
      </c>
      <c r="Q14" s="1"/>
      <c r="R14" s="2" t="s">
        <v>731</v>
      </c>
      <c r="S14" s="1"/>
      <c r="T14" s="2" t="s">
        <v>731</v>
      </c>
      <c r="U14" s="2" t="s">
        <v>731</v>
      </c>
    </row>
    <row r="15" spans="1:21" ht="20.100000000000001" customHeight="1" x14ac:dyDescent="0.2">
      <c r="E15" s="4"/>
      <c r="F15" s="4"/>
    </row>
  </sheetData>
  <mergeCells count="26">
    <mergeCell ref="M11:M12"/>
    <mergeCell ref="N11:N12"/>
    <mergeCell ref="O11:O12"/>
    <mergeCell ref="P11:P12"/>
    <mergeCell ref="C1:D1"/>
    <mergeCell ref="P9:P10"/>
    <mergeCell ref="K5:K6"/>
    <mergeCell ref="L5:L6"/>
    <mergeCell ref="M9:M10"/>
    <mergeCell ref="N9:N10"/>
    <mergeCell ref="O9:O10"/>
    <mergeCell ref="Q1:R1"/>
    <mergeCell ref="S1:T1"/>
    <mergeCell ref="E1:F1"/>
    <mergeCell ref="G1:H1"/>
    <mergeCell ref="I1:J1"/>
    <mergeCell ref="K1:L1"/>
    <mergeCell ref="M1:N1"/>
    <mergeCell ref="O1:P1"/>
    <mergeCell ref="A2:A14"/>
    <mergeCell ref="I3:I4"/>
    <mergeCell ref="J3:J4"/>
    <mergeCell ref="K3:K4"/>
    <mergeCell ref="L3:L4"/>
    <mergeCell ref="I5:I6"/>
    <mergeCell ref="J5:J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51BD-DF99-49D5-AD76-C37E7BF19741}">
  <dimension ref="A1:F13"/>
  <sheetViews>
    <sheetView workbookViewId="0"/>
  </sheetViews>
  <sheetFormatPr defaultRowHeight="18" customHeight="1" x14ac:dyDescent="0.2"/>
  <cols>
    <col min="1" max="2" width="9" style="7"/>
    <col min="3" max="3" width="17.25" style="7" bestFit="1" customWidth="1"/>
    <col min="4" max="4" width="10.5" style="7" customWidth="1"/>
    <col min="5" max="16384" width="9" style="7"/>
  </cols>
  <sheetData>
    <row r="1" spans="1:6" s="10" customFormat="1" ht="18" customHeight="1" x14ac:dyDescent="0.2">
      <c r="A1" s="9" t="s">
        <v>1</v>
      </c>
      <c r="B1" s="9" t="s">
        <v>167</v>
      </c>
      <c r="C1" s="9" t="s">
        <v>169</v>
      </c>
      <c r="D1" s="9" t="s">
        <v>168</v>
      </c>
      <c r="E1" s="9" t="s">
        <v>376</v>
      </c>
      <c r="F1" s="9" t="s">
        <v>0</v>
      </c>
    </row>
    <row r="2" spans="1:6" ht="18" customHeight="1" x14ac:dyDescent="0.2">
      <c r="A2" s="1">
        <v>1</v>
      </c>
      <c r="B2" s="1" t="s">
        <v>362</v>
      </c>
      <c r="C2" s="1" t="s">
        <v>374</v>
      </c>
      <c r="D2" s="1" t="s">
        <v>375</v>
      </c>
      <c r="E2" s="1" t="s">
        <v>366</v>
      </c>
      <c r="F2" s="1"/>
    </row>
    <row r="3" spans="1:6" ht="18" customHeight="1" x14ac:dyDescent="0.2">
      <c r="A3" s="1">
        <v>2</v>
      </c>
      <c r="B3" s="1" t="s">
        <v>365</v>
      </c>
      <c r="C3" s="1" t="s">
        <v>373</v>
      </c>
      <c r="D3" s="1" t="s">
        <v>375</v>
      </c>
      <c r="E3" s="1" t="s">
        <v>366</v>
      </c>
      <c r="F3" s="1"/>
    </row>
    <row r="4" spans="1:6" ht="18" customHeight="1" x14ac:dyDescent="0.2">
      <c r="A4" s="1">
        <v>3</v>
      </c>
      <c r="B4" s="1" t="s">
        <v>371</v>
      </c>
      <c r="C4" s="1" t="s">
        <v>369</v>
      </c>
      <c r="D4" s="1" t="s">
        <v>375</v>
      </c>
      <c r="E4" s="1" t="s">
        <v>368</v>
      </c>
      <c r="F4" s="1"/>
    </row>
    <row r="5" spans="1:6" ht="18" customHeight="1" x14ac:dyDescent="0.2">
      <c r="A5" s="1">
        <v>4</v>
      </c>
      <c r="B5" s="1" t="s">
        <v>372</v>
      </c>
      <c r="C5" s="1" t="s">
        <v>370</v>
      </c>
      <c r="D5" s="1" t="s">
        <v>375</v>
      </c>
      <c r="E5" s="1" t="s">
        <v>367</v>
      </c>
      <c r="F5" s="1"/>
    </row>
    <row r="6" spans="1:6" ht="18" customHeight="1" x14ac:dyDescent="0.2">
      <c r="A6" s="1">
        <v>5</v>
      </c>
      <c r="B6" s="1" t="s">
        <v>430</v>
      </c>
      <c r="C6" s="1" t="s">
        <v>436</v>
      </c>
      <c r="D6" s="1" t="s">
        <v>375</v>
      </c>
      <c r="E6" s="1" t="s">
        <v>542</v>
      </c>
      <c r="F6" s="1"/>
    </row>
    <row r="7" spans="1:6" ht="18" customHeight="1" x14ac:dyDescent="0.2">
      <c r="A7" s="1">
        <v>6</v>
      </c>
      <c r="B7" s="1" t="s">
        <v>431</v>
      </c>
      <c r="C7" s="1" t="s">
        <v>437</v>
      </c>
      <c r="D7" s="1" t="s">
        <v>375</v>
      </c>
      <c r="E7" s="1" t="s">
        <v>542</v>
      </c>
      <c r="F7" s="1"/>
    </row>
    <row r="8" spans="1:6" ht="18" customHeight="1" x14ac:dyDescent="0.2">
      <c r="A8" s="1">
        <v>7</v>
      </c>
      <c r="B8" s="1" t="s">
        <v>432</v>
      </c>
      <c r="C8" s="1" t="s">
        <v>438</v>
      </c>
      <c r="D8" s="1" t="s">
        <v>375</v>
      </c>
      <c r="E8" s="1" t="s">
        <v>542</v>
      </c>
      <c r="F8" s="1"/>
    </row>
    <row r="9" spans="1:6" ht="18" customHeight="1" x14ac:dyDescent="0.2">
      <c r="A9" s="1">
        <v>8</v>
      </c>
      <c r="B9" s="1" t="s">
        <v>433</v>
      </c>
      <c r="C9" s="1" t="s">
        <v>439</v>
      </c>
      <c r="D9" s="1" t="s">
        <v>375</v>
      </c>
      <c r="E9" s="1" t="s">
        <v>542</v>
      </c>
      <c r="F9" s="1"/>
    </row>
    <row r="10" spans="1:6" ht="18" customHeight="1" x14ac:dyDescent="0.2">
      <c r="A10" s="1">
        <v>9</v>
      </c>
      <c r="B10" s="1" t="s">
        <v>434</v>
      </c>
      <c r="C10" s="1" t="s">
        <v>440</v>
      </c>
      <c r="D10" s="1" t="s">
        <v>375</v>
      </c>
      <c r="E10" s="1" t="s">
        <v>542</v>
      </c>
      <c r="F10" s="1"/>
    </row>
    <row r="11" spans="1:6" ht="18" customHeight="1" x14ac:dyDescent="0.2">
      <c r="A11" s="1">
        <v>10</v>
      </c>
      <c r="B11" s="1" t="s">
        <v>435</v>
      </c>
      <c r="C11" s="1" t="s">
        <v>441</v>
      </c>
      <c r="D11" s="1" t="s">
        <v>375</v>
      </c>
      <c r="E11" s="1" t="s">
        <v>542</v>
      </c>
      <c r="F11" s="1"/>
    </row>
    <row r="12" spans="1:6" ht="18" customHeight="1" x14ac:dyDescent="0.2">
      <c r="A12" s="1">
        <v>11</v>
      </c>
      <c r="B12" s="1" t="s">
        <v>530</v>
      </c>
      <c r="C12" s="1" t="s">
        <v>539</v>
      </c>
      <c r="D12" s="1" t="s">
        <v>375</v>
      </c>
      <c r="E12" s="1" t="s">
        <v>542</v>
      </c>
      <c r="F12" s="1"/>
    </row>
    <row r="13" spans="1:6" ht="18" customHeight="1" x14ac:dyDescent="0.2">
      <c r="A13" s="1">
        <v>12</v>
      </c>
      <c r="B13" s="1" t="s">
        <v>540</v>
      </c>
      <c r="C13" s="1" t="s">
        <v>541</v>
      </c>
      <c r="D13" s="1" t="s">
        <v>375</v>
      </c>
      <c r="E13" s="1" t="s">
        <v>542</v>
      </c>
      <c r="F13" s="1"/>
    </row>
  </sheetData>
  <phoneticPr fontId="1" type="noConversion"/>
  <pageMargins left="0.7" right="0.7" top="0.75" bottom="0.75" header="0.3" footer="0.3"/>
  <pageSetup paperSize="9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3C3B-E411-4C09-9B7D-32F34F924876}">
  <dimension ref="A1:T25"/>
  <sheetViews>
    <sheetView workbookViewId="0">
      <selection sqref="A1:A2"/>
    </sheetView>
  </sheetViews>
  <sheetFormatPr defaultRowHeight="18" customHeight="1" x14ac:dyDescent="0.2"/>
  <cols>
    <col min="1" max="2" width="4.5" style="7" bestFit="1" customWidth="1"/>
    <col min="3" max="3" width="7.125" style="7" bestFit="1" customWidth="1"/>
    <col min="4" max="4" width="7.5" style="7" bestFit="1" customWidth="1"/>
    <col min="5" max="8" width="4.5" style="7" bestFit="1" customWidth="1"/>
    <col min="9" max="9" width="6" style="7" customWidth="1"/>
    <col min="10" max="10" width="5.25" style="7" customWidth="1"/>
    <col min="11" max="11" width="5.25" style="7" bestFit="1" customWidth="1"/>
    <col min="12" max="12" width="4.5" style="7" bestFit="1" customWidth="1"/>
    <col min="13" max="13" width="5.25" style="7" bestFit="1" customWidth="1"/>
    <col min="14" max="14" width="4.5" style="7" bestFit="1" customWidth="1"/>
    <col min="15" max="15" width="6.75" style="7" bestFit="1" customWidth="1"/>
    <col min="16" max="16" width="4.5" style="7" bestFit="1" customWidth="1"/>
    <col min="17" max="17" width="6" style="7" bestFit="1" customWidth="1"/>
    <col min="18" max="20" width="4.5" style="7" bestFit="1" customWidth="1"/>
    <col min="21" max="16384" width="9" style="7"/>
  </cols>
  <sheetData>
    <row r="1" spans="1:20" s="10" customFormat="1" ht="18" customHeight="1" x14ac:dyDescent="0.2">
      <c r="A1" s="66" t="s">
        <v>1</v>
      </c>
      <c r="B1" s="66" t="s">
        <v>191</v>
      </c>
      <c r="C1" s="66"/>
      <c r="D1" s="66"/>
      <c r="E1" s="66" t="s">
        <v>184</v>
      </c>
      <c r="F1" s="66"/>
      <c r="G1" s="66" t="s">
        <v>188</v>
      </c>
      <c r="H1" s="66"/>
      <c r="I1" s="66" t="s">
        <v>185</v>
      </c>
      <c r="J1" s="66"/>
      <c r="K1" s="66" t="s">
        <v>186</v>
      </c>
      <c r="L1" s="66"/>
      <c r="M1" s="66" t="s">
        <v>187</v>
      </c>
      <c r="N1" s="66"/>
      <c r="O1" s="67" t="s">
        <v>192</v>
      </c>
      <c r="P1" s="68"/>
      <c r="Q1" s="69"/>
      <c r="R1" s="63" t="s">
        <v>226</v>
      </c>
      <c r="S1" s="63" t="s">
        <v>225</v>
      </c>
      <c r="T1" s="65" t="s">
        <v>47</v>
      </c>
    </row>
    <row r="2" spans="1:20" s="10" customFormat="1" ht="18" customHeight="1" x14ac:dyDescent="0.2">
      <c r="A2" s="66"/>
      <c r="B2" s="9" t="s">
        <v>8</v>
      </c>
      <c r="C2" s="9" t="s">
        <v>183</v>
      </c>
      <c r="D2" s="9" t="s">
        <v>2</v>
      </c>
      <c r="E2" s="9" t="s">
        <v>189</v>
      </c>
      <c r="F2" s="9" t="s">
        <v>190</v>
      </c>
      <c r="G2" s="9" t="s">
        <v>189</v>
      </c>
      <c r="H2" s="9" t="s">
        <v>190</v>
      </c>
      <c r="I2" s="9" t="s">
        <v>189</v>
      </c>
      <c r="J2" s="9" t="s">
        <v>190</v>
      </c>
      <c r="K2" s="9" t="s">
        <v>189</v>
      </c>
      <c r="L2" s="9" t="s">
        <v>190</v>
      </c>
      <c r="M2" s="9" t="s">
        <v>189</v>
      </c>
      <c r="N2" s="9" t="s">
        <v>190</v>
      </c>
      <c r="O2" s="9" t="s">
        <v>61</v>
      </c>
      <c r="P2" s="9" t="s">
        <v>193</v>
      </c>
      <c r="Q2" s="9" t="s">
        <v>194</v>
      </c>
      <c r="R2" s="64"/>
      <c r="S2" s="64"/>
      <c r="T2" s="64"/>
    </row>
    <row r="3" spans="1:20" ht="18" customHeight="1" x14ac:dyDescent="0.2">
      <c r="A3" s="1">
        <v>1</v>
      </c>
      <c r="B3" s="1" t="s">
        <v>195</v>
      </c>
      <c r="C3" s="1" t="s">
        <v>102</v>
      </c>
      <c r="D3" s="1" t="s">
        <v>45</v>
      </c>
      <c r="E3" s="1">
        <v>0</v>
      </c>
      <c r="F3" s="1">
        <v>5</v>
      </c>
      <c r="G3" s="1">
        <v>0</v>
      </c>
      <c r="H3" s="1">
        <v>4000</v>
      </c>
      <c r="I3" s="1">
        <v>0</v>
      </c>
      <c r="J3" s="1">
        <v>225</v>
      </c>
      <c r="K3" s="1">
        <v>-10</v>
      </c>
      <c r="L3" s="1">
        <v>10</v>
      </c>
      <c r="M3" s="1">
        <v>-8000</v>
      </c>
      <c r="N3" s="1">
        <v>8000</v>
      </c>
      <c r="O3" s="1" t="s">
        <v>64</v>
      </c>
      <c r="P3" s="1" t="s">
        <v>68</v>
      </c>
      <c r="Q3" s="1" t="s">
        <v>76</v>
      </c>
      <c r="R3" s="1"/>
      <c r="S3" s="1"/>
      <c r="T3" s="1"/>
    </row>
    <row r="4" spans="1:20" ht="18" customHeight="1" x14ac:dyDescent="0.2">
      <c r="A4" s="1">
        <v>2</v>
      </c>
      <c r="B4" s="1" t="s">
        <v>196</v>
      </c>
      <c r="C4" s="1" t="s">
        <v>103</v>
      </c>
      <c r="D4" s="1" t="s">
        <v>45</v>
      </c>
      <c r="E4" s="1">
        <v>0</v>
      </c>
      <c r="F4" s="1">
        <v>5</v>
      </c>
      <c r="G4" s="1">
        <v>0</v>
      </c>
      <c r="H4" s="1">
        <v>4000</v>
      </c>
      <c r="I4" s="1">
        <v>0</v>
      </c>
      <c r="J4" s="1">
        <v>225</v>
      </c>
      <c r="K4" s="1">
        <v>-10</v>
      </c>
      <c r="L4" s="1">
        <v>10</v>
      </c>
      <c r="M4" s="1">
        <v>-8000</v>
      </c>
      <c r="N4" s="1">
        <v>8000</v>
      </c>
      <c r="O4" s="1" t="s">
        <v>64</v>
      </c>
      <c r="P4" s="1" t="s">
        <v>69</v>
      </c>
      <c r="Q4" s="1" t="s">
        <v>77</v>
      </c>
      <c r="R4" s="1"/>
      <c r="S4" s="1"/>
      <c r="T4" s="1"/>
    </row>
    <row r="5" spans="1:20" ht="18" customHeight="1" x14ac:dyDescent="0.2">
      <c r="A5" s="1">
        <v>3</v>
      </c>
      <c r="B5" s="1" t="s">
        <v>197</v>
      </c>
      <c r="C5" s="1" t="s">
        <v>104</v>
      </c>
      <c r="D5" s="1" t="s">
        <v>45</v>
      </c>
      <c r="E5" s="1">
        <v>0</v>
      </c>
      <c r="F5" s="1">
        <v>5</v>
      </c>
      <c r="G5" s="1">
        <v>0</v>
      </c>
      <c r="H5" s="1">
        <v>4000</v>
      </c>
      <c r="I5" s="1">
        <v>0</v>
      </c>
      <c r="J5" s="1">
        <v>225</v>
      </c>
      <c r="K5" s="1">
        <v>-10</v>
      </c>
      <c r="L5" s="1">
        <v>10</v>
      </c>
      <c r="M5" s="1">
        <v>-8000</v>
      </c>
      <c r="N5" s="1">
        <v>8000</v>
      </c>
      <c r="O5" s="1" t="s">
        <v>64</v>
      </c>
      <c r="P5" s="1" t="s">
        <v>70</v>
      </c>
      <c r="Q5" s="1" t="s">
        <v>78</v>
      </c>
      <c r="R5" s="1"/>
      <c r="S5" s="1"/>
      <c r="T5" s="1"/>
    </row>
    <row r="6" spans="1:20" ht="18" customHeight="1" x14ac:dyDescent="0.2">
      <c r="A6" s="1">
        <v>4</v>
      </c>
      <c r="B6" s="1" t="s">
        <v>198</v>
      </c>
      <c r="C6" s="1" t="s">
        <v>105</v>
      </c>
      <c r="D6" s="1" t="s">
        <v>45</v>
      </c>
      <c r="E6" s="1">
        <v>0</v>
      </c>
      <c r="F6" s="1">
        <v>5</v>
      </c>
      <c r="G6" s="1">
        <v>0</v>
      </c>
      <c r="H6" s="1">
        <v>4000</v>
      </c>
      <c r="I6" s="1">
        <v>0</v>
      </c>
      <c r="J6" s="1">
        <v>225</v>
      </c>
      <c r="K6" s="1">
        <v>-10</v>
      </c>
      <c r="L6" s="1">
        <v>10</v>
      </c>
      <c r="M6" s="1">
        <v>-8000</v>
      </c>
      <c r="N6" s="1">
        <v>8000</v>
      </c>
      <c r="O6" s="1" t="s">
        <v>64</v>
      </c>
      <c r="P6" s="1" t="s">
        <v>71</v>
      </c>
      <c r="Q6" s="1" t="s">
        <v>79</v>
      </c>
      <c r="R6" s="1"/>
      <c r="S6" s="1"/>
      <c r="T6" s="1"/>
    </row>
    <row r="7" spans="1:20" ht="18" customHeight="1" x14ac:dyDescent="0.2">
      <c r="A7" s="1">
        <v>5</v>
      </c>
      <c r="B7" s="1" t="s">
        <v>199</v>
      </c>
      <c r="C7" s="1" t="s">
        <v>106</v>
      </c>
      <c r="D7" s="1" t="s">
        <v>45</v>
      </c>
      <c r="E7" s="1">
        <v>0</v>
      </c>
      <c r="F7" s="1">
        <v>5</v>
      </c>
      <c r="G7" s="1">
        <v>0</v>
      </c>
      <c r="H7" s="1">
        <v>4000</v>
      </c>
      <c r="I7" s="1">
        <v>0</v>
      </c>
      <c r="J7" s="1">
        <v>225</v>
      </c>
      <c r="K7" s="1">
        <v>-10</v>
      </c>
      <c r="L7" s="1">
        <v>10</v>
      </c>
      <c r="M7" s="1">
        <v>-8000</v>
      </c>
      <c r="N7" s="1">
        <v>8000</v>
      </c>
      <c r="O7" s="1" t="s">
        <v>65</v>
      </c>
      <c r="P7" s="1" t="s">
        <v>68</v>
      </c>
      <c r="Q7" s="1" t="s">
        <v>76</v>
      </c>
      <c r="R7" s="1"/>
      <c r="S7" s="1"/>
      <c r="T7" s="1"/>
    </row>
    <row r="8" spans="1:20" ht="18" customHeight="1" x14ac:dyDescent="0.2">
      <c r="A8" s="1">
        <v>6</v>
      </c>
      <c r="B8" s="1" t="s">
        <v>200</v>
      </c>
      <c r="C8" s="1" t="s">
        <v>107</v>
      </c>
      <c r="D8" s="1" t="s">
        <v>45</v>
      </c>
      <c r="E8" s="1">
        <v>0</v>
      </c>
      <c r="F8" s="1">
        <v>5</v>
      </c>
      <c r="G8" s="1">
        <v>0</v>
      </c>
      <c r="H8" s="1">
        <v>4000</v>
      </c>
      <c r="I8" s="1">
        <v>0</v>
      </c>
      <c r="J8" s="1">
        <v>225</v>
      </c>
      <c r="K8" s="1">
        <v>-10</v>
      </c>
      <c r="L8" s="1">
        <v>10</v>
      </c>
      <c r="M8" s="1">
        <v>-8000</v>
      </c>
      <c r="N8" s="1">
        <v>8000</v>
      </c>
      <c r="O8" s="1" t="s">
        <v>65</v>
      </c>
      <c r="P8" s="1" t="s">
        <v>69</v>
      </c>
      <c r="Q8" s="1" t="s">
        <v>77</v>
      </c>
      <c r="R8" s="1"/>
      <c r="S8" s="1" t="s">
        <v>211</v>
      </c>
      <c r="T8" s="1"/>
    </row>
    <row r="9" spans="1:20" ht="18" customHeight="1" x14ac:dyDescent="0.2">
      <c r="A9" s="1">
        <v>7</v>
      </c>
      <c r="B9" s="1" t="s">
        <v>201</v>
      </c>
      <c r="C9" s="1" t="s">
        <v>108</v>
      </c>
      <c r="D9" s="1" t="s">
        <v>45</v>
      </c>
      <c r="E9" s="1">
        <v>0</v>
      </c>
      <c r="F9" s="1">
        <v>5</v>
      </c>
      <c r="G9" s="1">
        <v>0</v>
      </c>
      <c r="H9" s="1">
        <v>4000</v>
      </c>
      <c r="I9" s="1">
        <v>0</v>
      </c>
      <c r="J9" s="1">
        <v>225</v>
      </c>
      <c r="K9" s="1">
        <v>-10</v>
      </c>
      <c r="L9" s="1">
        <v>10</v>
      </c>
      <c r="M9" s="1">
        <v>-8000</v>
      </c>
      <c r="N9" s="1">
        <v>8000</v>
      </c>
      <c r="O9" s="1" t="s">
        <v>65</v>
      </c>
      <c r="P9" s="1" t="s">
        <v>70</v>
      </c>
      <c r="Q9" s="1" t="s">
        <v>78</v>
      </c>
      <c r="R9" s="1"/>
      <c r="S9" s="1" t="s">
        <v>222</v>
      </c>
      <c r="T9" s="1"/>
    </row>
    <row r="10" spans="1:20" ht="18" customHeight="1" x14ac:dyDescent="0.2">
      <c r="A10" s="1">
        <v>8</v>
      </c>
      <c r="B10" s="1" t="s">
        <v>202</v>
      </c>
      <c r="C10" s="1" t="s">
        <v>109</v>
      </c>
      <c r="D10" s="1" t="s">
        <v>45</v>
      </c>
      <c r="E10" s="1">
        <v>0</v>
      </c>
      <c r="F10" s="1">
        <v>5</v>
      </c>
      <c r="G10" s="1">
        <v>0</v>
      </c>
      <c r="H10" s="1">
        <v>4000</v>
      </c>
      <c r="I10" s="1">
        <v>0</v>
      </c>
      <c r="J10" s="1">
        <v>225</v>
      </c>
      <c r="K10" s="1">
        <v>-10</v>
      </c>
      <c r="L10" s="1">
        <v>10</v>
      </c>
      <c r="M10" s="1">
        <v>-8000</v>
      </c>
      <c r="N10" s="1">
        <v>8000</v>
      </c>
      <c r="O10" s="1" t="s">
        <v>65</v>
      </c>
      <c r="P10" s="1" t="s">
        <v>71</v>
      </c>
      <c r="Q10" s="1" t="s">
        <v>79</v>
      </c>
      <c r="R10" s="1"/>
      <c r="S10" s="1" t="s">
        <v>223</v>
      </c>
      <c r="T10" s="1"/>
    </row>
    <row r="11" spans="1:20" ht="18" customHeight="1" x14ac:dyDescent="0.2">
      <c r="A11" s="1">
        <v>9</v>
      </c>
      <c r="B11" s="1" t="s">
        <v>203</v>
      </c>
      <c r="C11" s="1" t="s">
        <v>110</v>
      </c>
      <c r="D11" s="1" t="s">
        <v>45</v>
      </c>
      <c r="E11" s="1">
        <v>0</v>
      </c>
      <c r="F11" s="1">
        <v>5</v>
      </c>
      <c r="G11" s="1">
        <v>0</v>
      </c>
      <c r="H11" s="1">
        <v>4000</v>
      </c>
      <c r="I11" s="1">
        <v>0</v>
      </c>
      <c r="J11" s="1">
        <v>225</v>
      </c>
      <c r="K11" s="1">
        <v>-10</v>
      </c>
      <c r="L11" s="1">
        <v>10</v>
      </c>
      <c r="M11" s="1">
        <v>-8000</v>
      </c>
      <c r="N11" s="1">
        <v>8000</v>
      </c>
      <c r="O11" s="1" t="s">
        <v>66</v>
      </c>
      <c r="P11" s="1" t="s">
        <v>68</v>
      </c>
      <c r="Q11" s="1" t="s">
        <v>76</v>
      </c>
      <c r="R11" s="1"/>
      <c r="S11" s="1" t="s">
        <v>224</v>
      </c>
      <c r="T11" s="1"/>
    </row>
    <row r="12" spans="1:20" ht="18" customHeight="1" x14ac:dyDescent="0.2">
      <c r="A12" s="1">
        <v>10</v>
      </c>
      <c r="B12" s="1" t="s">
        <v>204</v>
      </c>
      <c r="C12" s="1" t="s">
        <v>111</v>
      </c>
      <c r="D12" s="1" t="s">
        <v>45</v>
      </c>
      <c r="E12" s="1">
        <v>0</v>
      </c>
      <c r="F12" s="1">
        <v>5</v>
      </c>
      <c r="G12" s="1">
        <v>0</v>
      </c>
      <c r="H12" s="1">
        <v>4000</v>
      </c>
      <c r="I12" s="1">
        <v>0</v>
      </c>
      <c r="J12" s="1">
        <v>100</v>
      </c>
      <c r="K12" s="1">
        <v>-10</v>
      </c>
      <c r="L12" s="1">
        <v>10</v>
      </c>
      <c r="M12" s="1">
        <v>-8000</v>
      </c>
      <c r="N12" s="1">
        <v>8000</v>
      </c>
      <c r="O12" s="1" t="s">
        <v>66</v>
      </c>
      <c r="P12" s="1" t="s">
        <v>69</v>
      </c>
      <c r="Q12" s="1" t="s">
        <v>77</v>
      </c>
      <c r="R12" s="1"/>
      <c r="S12" s="1" t="s">
        <v>219</v>
      </c>
      <c r="T12" s="1"/>
    </row>
    <row r="13" spans="1:20" ht="18" customHeight="1" x14ac:dyDescent="0.2">
      <c r="A13" s="1">
        <v>11</v>
      </c>
      <c r="B13" s="1" t="s">
        <v>205</v>
      </c>
      <c r="C13" s="1" t="s">
        <v>112</v>
      </c>
      <c r="D13" s="1" t="s">
        <v>45</v>
      </c>
      <c r="E13" s="1">
        <v>0</v>
      </c>
      <c r="F13" s="1">
        <v>5</v>
      </c>
      <c r="G13" s="1">
        <v>0</v>
      </c>
      <c r="H13" s="1">
        <v>4000</v>
      </c>
      <c r="I13" s="1">
        <v>0</v>
      </c>
      <c r="J13" s="1">
        <v>100</v>
      </c>
      <c r="K13" s="1">
        <v>-10</v>
      </c>
      <c r="L13" s="1">
        <v>10</v>
      </c>
      <c r="M13" s="1">
        <v>-8000</v>
      </c>
      <c r="N13" s="1">
        <v>8000</v>
      </c>
      <c r="O13" s="1" t="s">
        <v>66</v>
      </c>
      <c r="P13" s="1" t="s">
        <v>70</v>
      </c>
      <c r="Q13" s="1" t="s">
        <v>78</v>
      </c>
      <c r="R13" s="1"/>
      <c r="S13" s="1" t="s">
        <v>220</v>
      </c>
      <c r="T13" s="1"/>
    </row>
    <row r="14" spans="1:20" ht="18" customHeight="1" x14ac:dyDescent="0.2">
      <c r="A14" s="1">
        <v>12</v>
      </c>
      <c r="B14" s="1" t="s">
        <v>206</v>
      </c>
      <c r="C14" s="1" t="s">
        <v>113</v>
      </c>
      <c r="D14" s="1" t="s">
        <v>45</v>
      </c>
      <c r="E14" s="1">
        <v>0</v>
      </c>
      <c r="F14" s="1">
        <v>5</v>
      </c>
      <c r="G14" s="1">
        <v>0</v>
      </c>
      <c r="H14" s="1">
        <v>4000</v>
      </c>
      <c r="I14" s="1">
        <v>0</v>
      </c>
      <c r="J14" s="1">
        <v>100</v>
      </c>
      <c r="K14" s="1">
        <v>-10</v>
      </c>
      <c r="L14" s="1">
        <v>10</v>
      </c>
      <c r="M14" s="1">
        <v>-8000</v>
      </c>
      <c r="N14" s="1">
        <v>8000</v>
      </c>
      <c r="O14" s="1" t="s">
        <v>66</v>
      </c>
      <c r="P14" s="1" t="s">
        <v>71</v>
      </c>
      <c r="Q14" s="1" t="s">
        <v>79</v>
      </c>
      <c r="R14" s="1"/>
      <c r="S14" s="1" t="s">
        <v>221</v>
      </c>
      <c r="T14" s="1"/>
    </row>
    <row r="15" spans="1:20" ht="18" customHeight="1" x14ac:dyDescent="0.2">
      <c r="A15" s="1">
        <v>13</v>
      </c>
      <c r="B15" s="1" t="s">
        <v>207</v>
      </c>
      <c r="C15" s="1" t="s">
        <v>114</v>
      </c>
      <c r="D15" s="1" t="s">
        <v>46</v>
      </c>
      <c r="E15" s="1">
        <v>4</v>
      </c>
      <c r="F15" s="1">
        <v>20</v>
      </c>
      <c r="G15" s="1">
        <v>0</v>
      </c>
      <c r="H15" s="1">
        <v>4000</v>
      </c>
      <c r="I15" s="1">
        <v>-600</v>
      </c>
      <c r="J15" s="1">
        <v>600</v>
      </c>
      <c r="K15" s="1">
        <v>-12</v>
      </c>
      <c r="L15" s="1">
        <v>20</v>
      </c>
      <c r="M15" s="1">
        <v>-8000</v>
      </c>
      <c r="N15" s="1">
        <v>8000</v>
      </c>
      <c r="O15" s="1" t="s">
        <v>67</v>
      </c>
      <c r="P15" s="1" t="s">
        <v>68</v>
      </c>
      <c r="Q15" s="1" t="s">
        <v>80</v>
      </c>
      <c r="R15" s="1"/>
      <c r="S15" s="1"/>
      <c r="T15" s="1"/>
    </row>
    <row r="16" spans="1:20" ht="18" customHeight="1" x14ac:dyDescent="0.2">
      <c r="A16" s="1">
        <v>14</v>
      </c>
      <c r="B16" s="1" t="s">
        <v>208</v>
      </c>
      <c r="C16" s="1" t="s">
        <v>115</v>
      </c>
      <c r="D16" s="1" t="s">
        <v>46</v>
      </c>
      <c r="E16" s="1">
        <v>4</v>
      </c>
      <c r="F16" s="1">
        <v>20</v>
      </c>
      <c r="G16" s="1">
        <v>0</v>
      </c>
      <c r="H16" s="1">
        <v>4000</v>
      </c>
      <c r="I16" s="1">
        <v>-12000</v>
      </c>
      <c r="J16" s="1">
        <v>12000</v>
      </c>
      <c r="K16" s="1">
        <v>-12</v>
      </c>
      <c r="L16" s="1">
        <v>20</v>
      </c>
      <c r="M16" s="1">
        <v>-8000</v>
      </c>
      <c r="N16" s="1">
        <v>8000</v>
      </c>
      <c r="O16" s="1" t="s">
        <v>67</v>
      </c>
      <c r="P16" s="1" t="s">
        <v>69</v>
      </c>
      <c r="Q16" s="1" t="s">
        <v>81</v>
      </c>
      <c r="R16" s="1"/>
      <c r="S16" s="1"/>
      <c r="T16" s="1"/>
    </row>
    <row r="17" spans="1:20" ht="18" customHeight="1" x14ac:dyDescent="0.2">
      <c r="A17" s="1">
        <v>15</v>
      </c>
      <c r="B17" s="1" t="s">
        <v>209</v>
      </c>
      <c r="C17" s="1" t="s">
        <v>117</v>
      </c>
      <c r="D17" s="1" t="s">
        <v>46</v>
      </c>
      <c r="E17" s="1">
        <v>4</v>
      </c>
      <c r="F17" s="1">
        <v>20</v>
      </c>
      <c r="G17" s="1">
        <v>0</v>
      </c>
      <c r="H17" s="1">
        <v>4000</v>
      </c>
      <c r="I17" s="1">
        <v>0</v>
      </c>
      <c r="J17" s="1">
        <v>30</v>
      </c>
      <c r="K17" s="1">
        <v>-12</v>
      </c>
      <c r="L17" s="1">
        <v>20</v>
      </c>
      <c r="M17" s="1">
        <v>-8000</v>
      </c>
      <c r="N17" s="1">
        <v>8000</v>
      </c>
      <c r="O17" s="1" t="s">
        <v>67</v>
      </c>
      <c r="P17" s="1" t="s">
        <v>70</v>
      </c>
      <c r="Q17" s="1" t="s">
        <v>82</v>
      </c>
      <c r="R17" s="1"/>
      <c r="S17" s="1"/>
      <c r="T17" s="1"/>
    </row>
    <row r="18" spans="1:20" ht="18" customHeight="1" x14ac:dyDescent="0.2">
      <c r="A18" s="1">
        <v>16</v>
      </c>
      <c r="B18" s="1" t="s">
        <v>210</v>
      </c>
      <c r="C18" s="1" t="s">
        <v>116</v>
      </c>
      <c r="D18" s="1" t="s">
        <v>46</v>
      </c>
      <c r="E18" s="1">
        <v>4</v>
      </c>
      <c r="F18" s="1">
        <v>20</v>
      </c>
      <c r="G18" s="1">
        <v>0</v>
      </c>
      <c r="H18" s="1">
        <v>4000</v>
      </c>
      <c r="I18" s="1">
        <v>0</v>
      </c>
      <c r="J18" s="1">
        <v>30</v>
      </c>
      <c r="K18" s="1">
        <v>-12</v>
      </c>
      <c r="L18" s="1">
        <v>20</v>
      </c>
      <c r="M18" s="1">
        <v>-8000</v>
      </c>
      <c r="N18" s="1">
        <v>8000</v>
      </c>
      <c r="O18" s="1" t="s">
        <v>67</v>
      </c>
      <c r="P18" s="1" t="s">
        <v>71</v>
      </c>
      <c r="Q18" s="1" t="s">
        <v>83</v>
      </c>
      <c r="R18" s="1"/>
      <c r="S18" s="1"/>
      <c r="T18" s="1"/>
    </row>
    <row r="19" spans="1:20" ht="18" customHeight="1" x14ac:dyDescent="0.2">
      <c r="A19" s="7" t="s">
        <v>214</v>
      </c>
      <c r="B19" s="7" t="s">
        <v>215</v>
      </c>
      <c r="C19" s="7" t="s">
        <v>185</v>
      </c>
    </row>
    <row r="20" spans="1:20" ht="18" customHeight="1" x14ac:dyDescent="0.2">
      <c r="A20" s="7" t="s">
        <v>211</v>
      </c>
      <c r="B20" s="7">
        <v>1</v>
      </c>
      <c r="C20" s="7" t="s">
        <v>216</v>
      </c>
      <c r="I20" s="7">
        <v>0</v>
      </c>
      <c r="J20" s="7">
        <v>2000</v>
      </c>
      <c r="K20" s="7">
        <v>4000</v>
      </c>
    </row>
    <row r="21" spans="1:20" ht="18" customHeight="1" x14ac:dyDescent="0.2">
      <c r="A21" s="7" t="s">
        <v>212</v>
      </c>
      <c r="B21" s="7">
        <v>3</v>
      </c>
      <c r="C21" s="7" t="s">
        <v>216</v>
      </c>
      <c r="I21" s="7">
        <v>-600</v>
      </c>
      <c r="J21" s="7">
        <v>0</v>
      </c>
      <c r="K21" s="7">
        <v>600</v>
      </c>
    </row>
    <row r="22" spans="1:20" ht="18" customHeight="1" x14ac:dyDescent="0.2">
      <c r="A22" s="7" t="s">
        <v>213</v>
      </c>
      <c r="B22" s="7">
        <v>3</v>
      </c>
      <c r="C22" s="7" t="s">
        <v>217</v>
      </c>
    </row>
    <row r="23" spans="1:20" ht="18" customHeight="1" x14ac:dyDescent="0.2">
      <c r="A23" s="62" t="s">
        <v>218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13"/>
      <c r="S23" s="13"/>
    </row>
    <row r="24" spans="1:20" ht="18" customHeight="1" x14ac:dyDescent="0.2">
      <c r="I24" s="7">
        <v>0</v>
      </c>
      <c r="J24" s="7">
        <v>2000</v>
      </c>
      <c r="K24" s="7">
        <v>4000</v>
      </c>
    </row>
    <row r="25" spans="1:20" ht="18" customHeight="1" x14ac:dyDescent="0.2">
      <c r="I25" s="7">
        <v>-12000</v>
      </c>
      <c r="J25" s="7">
        <v>0</v>
      </c>
      <c r="K25" s="7">
        <v>12000</v>
      </c>
    </row>
  </sheetData>
  <mergeCells count="12">
    <mergeCell ref="A23:Q23"/>
    <mergeCell ref="S1:S2"/>
    <mergeCell ref="T1:T2"/>
    <mergeCell ref="R1:R2"/>
    <mergeCell ref="G1:H1"/>
    <mergeCell ref="A1:A2"/>
    <mergeCell ref="B1:D1"/>
    <mergeCell ref="O1:Q1"/>
    <mergeCell ref="E1:F1"/>
    <mergeCell ref="K1:L1"/>
    <mergeCell ref="I1:J1"/>
    <mergeCell ref="M1:N1"/>
  </mergeCells>
  <phoneticPr fontId="1" type="noConversion"/>
  <printOptions horizontalCentered="1"/>
  <pageMargins left="0.51181102362204722" right="0.51181102362204722" top="0.55118110236220474" bottom="0.55118110236220474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AA0D-610F-4B9C-8860-ABAC77A5A3B0}">
  <dimension ref="A1:H13"/>
  <sheetViews>
    <sheetView workbookViewId="0">
      <selection activeCell="D6" sqref="D6:E6"/>
    </sheetView>
  </sheetViews>
  <sheetFormatPr defaultRowHeight="20.100000000000001" customHeight="1" x14ac:dyDescent="0.2"/>
  <cols>
    <col min="1" max="3" width="9" style="36"/>
    <col min="4" max="4" width="5.75" style="36" customWidth="1"/>
    <col min="5" max="5" width="5.875" style="36" customWidth="1"/>
    <col min="6" max="16384" width="9" style="36"/>
  </cols>
  <sheetData>
    <row r="1" spans="1:8" ht="20.100000000000001" customHeight="1" x14ac:dyDescent="0.2">
      <c r="A1" s="70" t="s">
        <v>1383</v>
      </c>
      <c r="B1" s="70" t="s">
        <v>0</v>
      </c>
      <c r="C1" s="70" t="s">
        <v>1384</v>
      </c>
      <c r="D1" s="70" t="s">
        <v>1385</v>
      </c>
      <c r="E1" s="70"/>
      <c r="F1" s="70"/>
      <c r="G1" s="70"/>
    </row>
    <row r="2" spans="1:8" ht="20.100000000000001" customHeight="1" x14ac:dyDescent="0.2">
      <c r="A2" s="70"/>
      <c r="B2" s="70"/>
      <c r="C2" s="70"/>
      <c r="D2" s="70" t="s">
        <v>1399</v>
      </c>
      <c r="E2" s="70"/>
      <c r="F2" s="70" t="s">
        <v>1400</v>
      </c>
      <c r="G2" s="70"/>
    </row>
    <row r="3" spans="1:8" ht="20.100000000000001" customHeight="1" x14ac:dyDescent="0.2">
      <c r="A3" s="37" t="s">
        <v>1386</v>
      </c>
      <c r="B3" s="37" t="s">
        <v>1395</v>
      </c>
      <c r="C3" s="37">
        <v>4</v>
      </c>
      <c r="D3" s="37" t="s">
        <v>301</v>
      </c>
      <c r="E3" s="37" t="s">
        <v>1401</v>
      </c>
      <c r="F3" s="37"/>
      <c r="G3" s="37"/>
      <c r="H3" s="36" t="s">
        <v>1412</v>
      </c>
    </row>
    <row r="4" spans="1:8" ht="20.100000000000001" customHeight="1" x14ac:dyDescent="0.2">
      <c r="A4" s="37" t="s">
        <v>1387</v>
      </c>
      <c r="B4" s="37" t="s">
        <v>1395</v>
      </c>
      <c r="C4" s="37">
        <v>5</v>
      </c>
      <c r="D4" s="37" t="s">
        <v>317</v>
      </c>
      <c r="E4" s="37" t="s">
        <v>1402</v>
      </c>
      <c r="F4" s="37"/>
      <c r="G4" s="37"/>
      <c r="H4" s="36" t="s">
        <v>1413</v>
      </c>
    </row>
    <row r="5" spans="1:8" ht="20.100000000000001" customHeight="1" x14ac:dyDescent="0.2">
      <c r="A5" s="37" t="s">
        <v>1388</v>
      </c>
      <c r="B5" s="37" t="s">
        <v>1395</v>
      </c>
      <c r="C5" s="37">
        <v>6</v>
      </c>
      <c r="D5" s="37" t="s">
        <v>321</v>
      </c>
      <c r="E5" s="37" t="s">
        <v>1403</v>
      </c>
      <c r="F5" s="37"/>
      <c r="G5" s="37"/>
      <c r="H5" s="36" t="s">
        <v>1414</v>
      </c>
    </row>
    <row r="6" spans="1:8" ht="20.100000000000001" customHeight="1" x14ac:dyDescent="0.2">
      <c r="A6" s="37" t="s">
        <v>1389</v>
      </c>
      <c r="B6" s="37" t="s">
        <v>1395</v>
      </c>
      <c r="C6" s="37">
        <v>7</v>
      </c>
      <c r="D6" s="37" t="s">
        <v>325</v>
      </c>
      <c r="E6" s="37" t="s">
        <v>1404</v>
      </c>
      <c r="F6" s="37"/>
      <c r="G6" s="37"/>
    </row>
    <row r="7" spans="1:8" ht="20.100000000000001" customHeight="1" x14ac:dyDescent="0.2">
      <c r="A7" s="37" t="s">
        <v>1390</v>
      </c>
      <c r="B7" s="37" t="s">
        <v>1396</v>
      </c>
      <c r="C7" s="37">
        <v>10</v>
      </c>
      <c r="D7" s="37" t="s">
        <v>1112</v>
      </c>
      <c r="E7" s="37" t="s">
        <v>1407</v>
      </c>
      <c r="F7" s="37"/>
      <c r="G7" s="37"/>
      <c r="H7" s="36" t="s">
        <v>1415</v>
      </c>
    </row>
    <row r="8" spans="1:8" ht="20.100000000000001" customHeight="1" x14ac:dyDescent="0.2">
      <c r="A8" s="37" t="s">
        <v>1391</v>
      </c>
      <c r="B8" s="37" t="s">
        <v>1396</v>
      </c>
      <c r="C8" s="37">
        <v>11</v>
      </c>
      <c r="D8" s="37" t="s">
        <v>1142</v>
      </c>
      <c r="E8" s="37" t="s">
        <v>1408</v>
      </c>
      <c r="F8" s="37"/>
      <c r="G8" s="37"/>
      <c r="H8" s="36" t="s">
        <v>1416</v>
      </c>
    </row>
    <row r="9" spans="1:8" ht="20.100000000000001" customHeight="1" x14ac:dyDescent="0.2">
      <c r="A9" s="37" t="s">
        <v>1392</v>
      </c>
      <c r="B9" s="37" t="s">
        <v>1396</v>
      </c>
      <c r="C9" s="37">
        <v>12</v>
      </c>
      <c r="D9" s="37" t="s">
        <v>1148</v>
      </c>
      <c r="E9" s="37" t="s">
        <v>1409</v>
      </c>
      <c r="F9" s="37"/>
      <c r="G9" s="37"/>
      <c r="H9" s="36" t="s">
        <v>1417</v>
      </c>
    </row>
    <row r="10" spans="1:8" ht="20.100000000000001" customHeight="1" x14ac:dyDescent="0.2">
      <c r="A10" s="37" t="s">
        <v>1393</v>
      </c>
      <c r="B10" s="37" t="s">
        <v>1395</v>
      </c>
      <c r="C10" s="37">
        <v>13</v>
      </c>
      <c r="D10" s="37" t="s">
        <v>1154</v>
      </c>
      <c r="E10" s="37" t="s">
        <v>1410</v>
      </c>
      <c r="F10" s="37"/>
      <c r="G10" s="37"/>
      <c r="H10" s="36" t="s">
        <v>1418</v>
      </c>
    </row>
    <row r="11" spans="1:8" ht="20.100000000000001" customHeight="1" x14ac:dyDescent="0.2">
      <c r="A11" s="37" t="s">
        <v>1394</v>
      </c>
      <c r="B11" s="37" t="s">
        <v>1395</v>
      </c>
      <c r="C11" s="37">
        <v>14</v>
      </c>
      <c r="D11" s="37" t="s">
        <v>1158</v>
      </c>
      <c r="E11" s="37" t="s">
        <v>1411</v>
      </c>
      <c r="F11" s="37"/>
      <c r="G11" s="37"/>
      <c r="H11" s="36" t="s">
        <v>1419</v>
      </c>
    </row>
    <row r="12" spans="1:8" ht="20.100000000000001" customHeight="1" x14ac:dyDescent="0.2">
      <c r="A12" s="37" t="s">
        <v>1397</v>
      </c>
      <c r="B12" s="37"/>
      <c r="C12" s="37">
        <v>9</v>
      </c>
      <c r="D12" s="37" t="s">
        <v>640</v>
      </c>
      <c r="E12" s="37" t="s">
        <v>1406</v>
      </c>
      <c r="F12" s="37" t="s">
        <v>1112</v>
      </c>
      <c r="G12" s="37" t="s">
        <v>1407</v>
      </c>
    </row>
    <row r="13" spans="1:8" ht="20.100000000000001" customHeight="1" x14ac:dyDescent="0.2">
      <c r="A13" s="37" t="s">
        <v>1398</v>
      </c>
      <c r="B13" s="37"/>
      <c r="C13" s="37"/>
      <c r="D13" s="37" t="s">
        <v>636</v>
      </c>
      <c r="E13" s="37" t="s">
        <v>1405</v>
      </c>
      <c r="F13" s="37"/>
      <c r="G13" s="37"/>
    </row>
  </sheetData>
  <mergeCells count="6">
    <mergeCell ref="A1:A2"/>
    <mergeCell ref="B1:B2"/>
    <mergeCell ref="C1:C2"/>
    <mergeCell ref="D1:G1"/>
    <mergeCell ref="D2:E2"/>
    <mergeCell ref="F2:G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5</vt:i4>
      </vt:variant>
    </vt:vector>
  </HeadingPairs>
  <TitlesOfParts>
    <vt:vector size="14" baseType="lpstr">
      <vt:lpstr>物理点</vt:lpstr>
      <vt:lpstr>M量</vt:lpstr>
      <vt:lpstr>普通D量</vt:lpstr>
      <vt:lpstr>程控指令</vt:lpstr>
      <vt:lpstr>层间变形指令</vt:lpstr>
      <vt:lpstr>阀门箱指令</vt:lpstr>
      <vt:lpstr>定时器</vt:lpstr>
      <vt:lpstr>传感器参数</vt:lpstr>
      <vt:lpstr>模块及地址</vt:lpstr>
      <vt:lpstr>层间变形指令!Print_Titles</vt:lpstr>
      <vt:lpstr>程控指令!Print_Titles</vt:lpstr>
      <vt:lpstr>传感器参数!Print_Titles</vt:lpstr>
      <vt:lpstr>普通D量!Print_Titles</vt:lpstr>
      <vt:lpstr>物理点!Print_Titles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qiangge</dc:creator>
  <cp:lastModifiedBy>zhengqiang hao</cp:lastModifiedBy>
  <cp:lastPrinted>2021-12-20T06:20:32Z</cp:lastPrinted>
  <dcterms:created xsi:type="dcterms:W3CDTF">2015-06-05T18:17:20Z</dcterms:created>
  <dcterms:modified xsi:type="dcterms:W3CDTF">2025-06-04T13:50:22Z</dcterms:modified>
</cp:coreProperties>
</file>